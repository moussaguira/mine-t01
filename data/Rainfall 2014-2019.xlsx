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documents\THESE\Thèse nouveau\Donnees Mine\HYDRO\pluvio\"/>
    </mc:Choice>
  </mc:AlternateContent>
  <bookViews>
    <workbookView xWindow="0" yWindow="0" windowWidth="26100" windowHeight="3030" activeTab="3"/>
  </bookViews>
  <sheets>
    <sheet name="2014" sheetId="1" r:id="rId1"/>
    <sheet name="2015" sheetId="2" r:id="rId2"/>
    <sheet name="2016" sheetId="3" r:id="rId3"/>
    <sheet name="2017" sheetId="4" r:id="rId4"/>
    <sheet name="Pluviomètrie Nangolo 2018" sheetId="6" r:id="rId5"/>
    <sheet name="Pluviomètrie Nangolo 2019" sheetId="10" r:id="rId6"/>
    <sheet name="Pluviomètre Barrage 2019" sheetId="11" r:id="rId7"/>
    <sheet name="Pluviometrie New Camp " sheetId="12" r:id="rId8"/>
  </sheets>
  <calcPr calcId="162913"/>
</workbook>
</file>

<file path=xl/calcChain.xml><?xml version="1.0" encoding="utf-8"?>
<calcChain xmlns="http://schemas.openxmlformats.org/spreadsheetml/2006/main">
  <c r="J8" i="3" l="1"/>
  <c r="K8" i="2"/>
  <c r="K8" i="1"/>
  <c r="J7" i="3"/>
  <c r="K7" i="2"/>
  <c r="J6" i="4"/>
  <c r="J6" i="3"/>
  <c r="K6" i="2"/>
  <c r="K9" i="1"/>
  <c r="K5" i="2"/>
  <c r="G37" i="11"/>
  <c r="K37" i="10"/>
  <c r="E36" i="6"/>
  <c r="E18" i="4"/>
  <c r="F18" i="3"/>
  <c r="H18" i="2"/>
  <c r="G18" i="1"/>
  <c r="BB34" i="11" l="1"/>
  <c r="AW33" i="11"/>
  <c r="AW33" i="10"/>
  <c r="BC34" i="10"/>
  <c r="AR34" i="11" l="1"/>
  <c r="AR34" i="10"/>
  <c r="AM33" i="10" l="1"/>
  <c r="AM33" i="11"/>
  <c r="N33" i="11" l="1"/>
  <c r="X33" i="11"/>
  <c r="Y34" i="12" l="1"/>
  <c r="AH34" i="11"/>
  <c r="AH34" i="10" l="1"/>
  <c r="AC34" i="10" l="1"/>
  <c r="T34" i="12" l="1"/>
  <c r="AC34" i="11" l="1"/>
  <c r="O33" i="12" l="1"/>
  <c r="S34" i="10"/>
  <c r="J34" i="12" l="1"/>
  <c r="S34" i="11"/>
  <c r="X33" i="10"/>
  <c r="E33" i="12" l="1"/>
  <c r="N33" i="10" l="1"/>
  <c r="I34" i="11" l="1"/>
  <c r="D22" i="11"/>
  <c r="I34" i="10"/>
  <c r="D23" i="10"/>
  <c r="N34" i="6" l="1"/>
  <c r="X33" i="6"/>
  <c r="S33" i="6"/>
  <c r="D34" i="6"/>
  <c r="I33" i="6"/>
</calcChain>
</file>

<file path=xl/comments1.xml><?xml version="1.0" encoding="utf-8"?>
<comments xmlns="http://schemas.openxmlformats.org/spreadsheetml/2006/main">
  <authors>
    <author>Radiatou TINTO</author>
  </authors>
  <commentList>
    <comment ref="Y18" authorId="0" shapeId="0">
      <text>
        <r>
          <rPr>
            <b/>
            <sz val="9"/>
            <color indexed="81"/>
            <rFont val="Tahoma"/>
            <family val="2"/>
          </rPr>
          <t>Radiatou TINTO:</t>
        </r>
        <r>
          <rPr>
            <sz val="9"/>
            <color indexed="81"/>
            <rFont val="Tahoma"/>
            <family val="2"/>
          </rPr>
          <t xml:space="preserve">
Pluviomètre deterioré </t>
        </r>
      </text>
    </comment>
  </commentList>
</comments>
</file>

<file path=xl/sharedStrings.xml><?xml version="1.0" encoding="utf-8"?>
<sst xmlns="http://schemas.openxmlformats.org/spreadsheetml/2006/main" count="250" uniqueCount="87">
  <si>
    <t>TOTAL (mm)</t>
  </si>
  <si>
    <t>Pluviométrie 2014</t>
  </si>
  <si>
    <t>Pluviométrie 2015</t>
  </si>
  <si>
    <t>Pluviométrie 2016</t>
  </si>
  <si>
    <r>
      <rPr>
        <b/>
        <sz val="14"/>
        <color theme="1"/>
        <rFont val="Calibri"/>
        <family val="2"/>
        <scheme val="minor"/>
      </rPr>
      <t>~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224,6</t>
    </r>
  </si>
  <si>
    <r>
      <rPr>
        <b/>
        <sz val="14"/>
        <color theme="1"/>
        <rFont val="Calibri"/>
        <family val="2"/>
        <scheme val="minor"/>
      </rPr>
      <t xml:space="preserve">~ </t>
    </r>
    <r>
      <rPr>
        <b/>
        <sz val="11"/>
        <color theme="1"/>
        <rFont val="Calibri"/>
        <family val="2"/>
        <scheme val="minor"/>
      </rPr>
      <t>898,8</t>
    </r>
  </si>
  <si>
    <r>
      <rPr>
        <b/>
        <sz val="14"/>
        <color theme="1"/>
        <rFont val="Calibri"/>
        <family val="2"/>
        <scheme val="minor"/>
      </rPr>
      <t xml:space="preserve">~ </t>
    </r>
    <r>
      <rPr>
        <b/>
        <sz val="11"/>
        <color theme="1"/>
        <rFont val="Calibri"/>
        <family val="2"/>
        <scheme val="minor"/>
      </rPr>
      <t>416,2</t>
    </r>
  </si>
  <si>
    <t>?+109,6</t>
  </si>
  <si>
    <r>
      <t xml:space="preserve">~ </t>
    </r>
    <r>
      <rPr>
        <sz val="12"/>
        <color theme="1"/>
        <rFont val="Calibri"/>
        <family val="2"/>
        <scheme val="minor"/>
      </rPr>
      <t>(Données en manque)</t>
    </r>
  </si>
  <si>
    <r>
      <rPr>
        <b/>
        <sz val="14"/>
        <color rgb="FFFF0000"/>
        <rFont val="Calibri"/>
        <family val="2"/>
      </rPr>
      <t>~</t>
    </r>
    <r>
      <rPr>
        <b/>
        <sz val="11"/>
        <color rgb="FFFF0000"/>
        <rFont val="Calibri"/>
        <family val="2"/>
      </rPr>
      <t xml:space="preserve">  896,2</t>
    </r>
  </si>
  <si>
    <t>?</t>
  </si>
  <si>
    <r>
      <rPr>
        <b/>
        <sz val="14"/>
        <color rgb="FFFF0000"/>
        <rFont val="Calibri"/>
        <family val="2"/>
      </rPr>
      <t>~</t>
    </r>
    <r>
      <rPr>
        <b/>
        <sz val="11"/>
        <color rgb="FFFF0000"/>
        <rFont val="Calibri"/>
        <family val="2"/>
      </rPr>
      <t xml:space="preserve">  1024</t>
    </r>
  </si>
  <si>
    <r>
      <rPr>
        <b/>
        <sz val="14"/>
        <color rgb="FFFF0000"/>
        <rFont val="Calibri"/>
        <family val="2"/>
        <scheme val="minor"/>
      </rPr>
      <t>~</t>
    </r>
    <r>
      <rPr>
        <b/>
        <sz val="11"/>
        <color rgb="FFFF0000"/>
        <rFont val="Calibri"/>
        <family val="2"/>
        <scheme val="minor"/>
      </rPr>
      <t>714</t>
    </r>
  </si>
  <si>
    <t>Pluviométrie 2017</t>
  </si>
  <si>
    <t>Pluviomètre1 (mm)</t>
  </si>
  <si>
    <t>Pluviomètre 2(mm)</t>
  </si>
  <si>
    <t>Pluviomètre 3 (mm)</t>
  </si>
  <si>
    <t>Pluvimètre 4 (mm)</t>
  </si>
  <si>
    <t>Fourkoura (mm)</t>
  </si>
  <si>
    <t>Samavogo(mm)</t>
  </si>
  <si>
    <t>Stinger (mm)</t>
  </si>
  <si>
    <t xml:space="preserve"> Pluviomètre météo mm</t>
  </si>
  <si>
    <t xml:space="preserve">Aout 2015  pluviomètre 3 Saccagé </t>
  </si>
  <si>
    <t>Septembre 2015 ( station météo Saccagé)</t>
  </si>
  <si>
    <t>Pluviomètre météo mm</t>
  </si>
  <si>
    <t>Juin 2016 (Pluviomètre  Stinger Saccagé)</t>
  </si>
  <si>
    <t xml:space="preserve">Mai </t>
  </si>
  <si>
    <t xml:space="preserve">juin </t>
  </si>
  <si>
    <t xml:space="preserve">Dates de lecture </t>
  </si>
  <si>
    <t xml:space="preserve">Heures </t>
  </si>
  <si>
    <t>Quantité (mm)</t>
  </si>
  <si>
    <t xml:space="preserve">Pluviometrie mensuelle  Mai </t>
  </si>
  <si>
    <t>Juillet 2018</t>
  </si>
  <si>
    <t>Aout  2018</t>
  </si>
  <si>
    <t>Septembre 2018</t>
  </si>
  <si>
    <t xml:space="preserve">Dates  </t>
  </si>
  <si>
    <t xml:space="preserve">Pluviométrie mensuelle Aout </t>
  </si>
  <si>
    <t xml:space="preserve">Pluviométrie mensuelle Septembre </t>
  </si>
  <si>
    <t xml:space="preserve">Pluviométrie mensuelle Juillet </t>
  </si>
  <si>
    <t xml:space="preserve">Dates de pluies  </t>
  </si>
  <si>
    <t>Dates de pluies</t>
  </si>
  <si>
    <t xml:space="preserve">Dates de pluies </t>
  </si>
  <si>
    <t>Mars</t>
  </si>
  <si>
    <t>Avril</t>
  </si>
  <si>
    <t>Dates de lecture</t>
  </si>
  <si>
    <t xml:space="preserve">Février </t>
  </si>
  <si>
    <t>Dates de pluie</t>
  </si>
  <si>
    <t xml:space="preserve">Dates de pluie </t>
  </si>
  <si>
    <t xml:space="preserve">Pluviométrie de Fevrier </t>
  </si>
  <si>
    <t xml:space="preserve">Pluviométrie de MARS </t>
  </si>
  <si>
    <t xml:space="preserve">Dates de pluie  </t>
  </si>
  <si>
    <t xml:space="preserve">Pluviometrie de Mars </t>
  </si>
  <si>
    <t>Dates de Pluie</t>
  </si>
  <si>
    <t xml:space="preserve">Pluviométrie de Avril  </t>
  </si>
  <si>
    <t>Mai</t>
  </si>
  <si>
    <t xml:space="preserve">Pluviometrie de Mai </t>
  </si>
  <si>
    <t xml:space="preserve">Pluviometrie d'Avril </t>
  </si>
  <si>
    <t>Pluviometrie mensuelle  juin</t>
  </si>
  <si>
    <t>Pluviométrie de Mai</t>
  </si>
  <si>
    <t xml:space="preserve">Pluviometrie de Avril </t>
  </si>
  <si>
    <t>Pluviometrie de mai</t>
  </si>
  <si>
    <r>
      <rPr>
        <b/>
        <sz val="11"/>
        <color rgb="FF0070C0"/>
        <rFont val="Calibri"/>
        <family val="2"/>
        <scheme val="minor"/>
      </rPr>
      <t>Pluvimetrie de Fevrier</t>
    </r>
    <r>
      <rPr>
        <sz val="11"/>
        <color rgb="FF0070C0"/>
        <rFont val="Calibri"/>
        <family val="2"/>
        <scheme val="minor"/>
      </rPr>
      <t xml:space="preserve"> </t>
    </r>
  </si>
  <si>
    <t xml:space="preserve">            </t>
  </si>
  <si>
    <t>juin</t>
  </si>
  <si>
    <t>Juin</t>
  </si>
  <si>
    <t>Pluviometrie de juin</t>
  </si>
  <si>
    <t xml:space="preserve">Pluviometrie de juin </t>
  </si>
  <si>
    <t>*</t>
  </si>
  <si>
    <t xml:space="preserve">Juillet </t>
  </si>
  <si>
    <t xml:space="preserve">Pluviometrie de juillet </t>
  </si>
  <si>
    <t xml:space="preserve">Pluviometrie de Juillet </t>
  </si>
  <si>
    <t>Pluviométrie de Juin</t>
  </si>
  <si>
    <t>non enregistré</t>
  </si>
  <si>
    <t xml:space="preserve">Aout </t>
  </si>
  <si>
    <t xml:space="preserve">Pluviometrie de Aout </t>
  </si>
  <si>
    <t>N/A</t>
  </si>
  <si>
    <t>Septembre</t>
  </si>
  <si>
    <t xml:space="preserve">Pluviometrie de Septembre </t>
  </si>
  <si>
    <t>Heure</t>
  </si>
  <si>
    <t xml:space="preserve">Octobre </t>
  </si>
  <si>
    <t xml:space="preserve">Pluviometrie d'octobre </t>
  </si>
  <si>
    <t xml:space="preserve">Pluviometrie d'Octobre </t>
  </si>
  <si>
    <t xml:space="preserve">Pluviometrie de Novembre </t>
  </si>
  <si>
    <t xml:space="preserve">Pluviometrie de Decembre  </t>
  </si>
  <si>
    <t xml:space="preserve">Novembre </t>
  </si>
  <si>
    <t xml:space="preserve">Decembre  </t>
  </si>
  <si>
    <t xml:space="preserve">Décembre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</si>
</sst>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17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/>
    <xf numFmtId="0" fontId="7" fillId="0" borderId="1" xfId="0" applyFont="1" applyBorder="1" applyAlignment="1">
      <alignment horizont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4" fontId="0" fillId="0" borderId="1" xfId="0" applyNumberFormat="1" applyBorder="1"/>
    <xf numFmtId="20" fontId="0" fillId="0" borderId="5" xfId="0" applyNumberFormat="1" applyBorder="1"/>
    <xf numFmtId="0" fontId="0" fillId="0" borderId="5" xfId="0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 applyBorder="1"/>
    <xf numFmtId="20" fontId="0" fillId="0" borderId="0" xfId="0" applyNumberFormat="1" applyBorder="1"/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horizontal="center"/>
    </xf>
    <xf numFmtId="164" fontId="0" fillId="0" borderId="0" xfId="0" applyNumberFormat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15" fillId="0" borderId="1" xfId="0" applyNumberFormat="1" applyFont="1" applyBorder="1" applyAlignment="1"/>
    <xf numFmtId="20" fontId="15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164" fontId="0" fillId="0" borderId="5" xfId="0" applyNumberFormat="1" applyBorder="1"/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20" fontId="0" fillId="0" borderId="5" xfId="0" applyNumberForma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14" fontId="15" fillId="0" borderId="3" xfId="0" applyNumberFormat="1" applyFont="1" applyBorder="1" applyAlignment="1">
      <alignment horizontal="center"/>
    </xf>
    <xf numFmtId="14" fontId="15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14" fillId="0" borderId="0" xfId="0" applyNumberFormat="1" applyFont="1" applyBorder="1" applyAlignment="1">
      <alignment horizontal="center"/>
    </xf>
    <xf numFmtId="20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17" fillId="0" borderId="1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workbookViewId="0">
      <selection activeCell="K8" sqref="K8"/>
    </sheetView>
  </sheetViews>
  <sheetFormatPr baseColWidth="10" defaultColWidth="11.42578125" defaultRowHeight="15" x14ac:dyDescent="0.25"/>
  <cols>
    <col min="3" max="3" width="14.42578125" customWidth="1"/>
    <col min="4" max="4" width="14.28515625" customWidth="1"/>
    <col min="5" max="5" width="14.140625" customWidth="1"/>
    <col min="6" max="6" width="13.85546875" customWidth="1"/>
    <col min="7" max="7" width="13.42578125" customWidth="1"/>
    <col min="8" max="9" width="13.5703125" customWidth="1"/>
    <col min="10" max="10" width="30.28515625" customWidth="1"/>
  </cols>
  <sheetData>
    <row r="1" spans="2:11" s="6" customFormat="1" x14ac:dyDescent="0.25"/>
    <row r="2" spans="2:11" ht="30.75" customHeight="1" x14ac:dyDescent="0.25">
      <c r="C2" s="108" t="s">
        <v>1</v>
      </c>
      <c r="D2" s="109"/>
      <c r="E2" s="109"/>
      <c r="F2" s="109"/>
      <c r="G2" s="109"/>
      <c r="H2" s="109"/>
      <c r="I2" s="109"/>
      <c r="J2" s="110"/>
    </row>
    <row r="3" spans="2:11" x14ac:dyDescent="0.25"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15" t="s">
        <v>24</v>
      </c>
    </row>
    <row r="4" spans="2:11" x14ac:dyDescent="0.25">
      <c r="B4" s="1">
        <v>41640</v>
      </c>
      <c r="C4" s="3"/>
      <c r="D4" s="2"/>
      <c r="E4" s="2"/>
      <c r="F4" s="2"/>
      <c r="G4" s="2"/>
      <c r="H4" s="2"/>
      <c r="I4" s="2"/>
      <c r="J4" s="3">
        <v>0</v>
      </c>
    </row>
    <row r="5" spans="2:11" x14ac:dyDescent="0.25">
      <c r="B5" s="1">
        <v>41671</v>
      </c>
      <c r="C5" s="3"/>
      <c r="D5" s="2"/>
      <c r="E5" s="2"/>
      <c r="F5" s="2"/>
      <c r="G5" s="2"/>
      <c r="H5" s="2"/>
      <c r="I5" s="2"/>
      <c r="J5" s="3">
        <v>0</v>
      </c>
    </row>
    <row r="6" spans="2:11" x14ac:dyDescent="0.25">
      <c r="B6" s="1">
        <v>41699</v>
      </c>
      <c r="C6" s="3"/>
      <c r="D6" s="2"/>
      <c r="E6" s="2"/>
      <c r="F6" s="2"/>
      <c r="G6" s="2"/>
      <c r="H6" s="2"/>
      <c r="I6" s="2"/>
      <c r="J6" s="3">
        <v>1.4</v>
      </c>
    </row>
    <row r="7" spans="2:11" x14ac:dyDescent="0.25">
      <c r="B7" s="1">
        <v>41730</v>
      </c>
      <c r="C7" s="3"/>
      <c r="D7" s="3"/>
      <c r="E7" s="3"/>
      <c r="F7" s="3">
        <v>107</v>
      </c>
      <c r="G7" s="3"/>
      <c r="H7" s="2"/>
      <c r="I7" s="2"/>
      <c r="J7" s="3">
        <v>133</v>
      </c>
    </row>
    <row r="8" spans="2:11" x14ac:dyDescent="0.25">
      <c r="B8" s="1">
        <v>41760</v>
      </c>
      <c r="C8" s="3">
        <v>82.2</v>
      </c>
      <c r="D8" s="3">
        <v>83</v>
      </c>
      <c r="E8" s="3"/>
      <c r="F8" s="3">
        <v>69.400000000000006</v>
      </c>
      <c r="G8" s="3"/>
      <c r="H8" s="3">
        <v>120.8</v>
      </c>
      <c r="I8" s="3">
        <v>84</v>
      </c>
      <c r="J8" s="3">
        <v>87.4</v>
      </c>
      <c r="K8">
        <f>AVERAGE(I8)</f>
        <v>84</v>
      </c>
    </row>
    <row r="9" spans="2:11" x14ac:dyDescent="0.25">
      <c r="B9" s="1">
        <v>41791</v>
      </c>
      <c r="C9" s="3">
        <v>135.6</v>
      </c>
      <c r="D9" s="3">
        <v>141.6</v>
      </c>
      <c r="E9" s="3"/>
      <c r="F9" s="3">
        <v>198.3</v>
      </c>
      <c r="G9" s="3">
        <v>178.4</v>
      </c>
      <c r="H9" s="3">
        <v>191.4</v>
      </c>
      <c r="I9" s="3">
        <v>169.3</v>
      </c>
      <c r="J9" s="3">
        <v>149.4</v>
      </c>
      <c r="K9">
        <f>AVERAGE(C8,D8,F8,H8,I8)</f>
        <v>87.88</v>
      </c>
    </row>
    <row r="10" spans="2:11" x14ac:dyDescent="0.25">
      <c r="B10" s="1">
        <v>41821</v>
      </c>
      <c r="C10" s="3">
        <v>130.80000000000001</v>
      </c>
      <c r="D10" s="3"/>
      <c r="E10" s="3"/>
      <c r="F10" s="3"/>
      <c r="G10" s="3">
        <v>147</v>
      </c>
      <c r="H10" s="3">
        <v>63.2</v>
      </c>
      <c r="I10" s="3">
        <v>193.8</v>
      </c>
      <c r="J10" s="3">
        <v>121.2</v>
      </c>
    </row>
    <row r="11" spans="2:11" x14ac:dyDescent="0.25">
      <c r="B11" s="1">
        <v>41852</v>
      </c>
      <c r="C11" s="3">
        <v>487.6</v>
      </c>
      <c r="D11" s="3"/>
      <c r="E11" s="3">
        <v>506</v>
      </c>
      <c r="F11" s="3"/>
      <c r="G11" s="3">
        <v>476</v>
      </c>
      <c r="H11" s="3">
        <v>341.2</v>
      </c>
      <c r="I11" s="3">
        <v>378</v>
      </c>
      <c r="J11" s="3">
        <v>430.4</v>
      </c>
    </row>
    <row r="12" spans="2:11" x14ac:dyDescent="0.25">
      <c r="B12" s="1">
        <v>41883</v>
      </c>
      <c r="C12" s="3">
        <v>337</v>
      </c>
      <c r="D12" s="3"/>
      <c r="E12" s="3">
        <v>272.8</v>
      </c>
      <c r="F12" s="3"/>
      <c r="G12" s="3">
        <v>282</v>
      </c>
      <c r="H12" s="3">
        <v>315.2</v>
      </c>
      <c r="I12" s="3">
        <v>205.6</v>
      </c>
      <c r="J12" s="3">
        <v>276</v>
      </c>
    </row>
    <row r="13" spans="2:11" x14ac:dyDescent="0.25">
      <c r="B13" s="1">
        <v>41913</v>
      </c>
      <c r="C13" s="3">
        <v>27.4</v>
      </c>
      <c r="D13" s="3"/>
      <c r="E13" s="3">
        <v>70.400000000000006</v>
      </c>
      <c r="F13" s="3">
        <v>27.1</v>
      </c>
      <c r="G13" s="3">
        <v>27</v>
      </c>
      <c r="H13" s="3">
        <v>45.4</v>
      </c>
      <c r="I13" s="3">
        <v>62.8</v>
      </c>
      <c r="J13" s="3">
        <v>71.599999999999994</v>
      </c>
    </row>
    <row r="14" spans="2:11" x14ac:dyDescent="0.25">
      <c r="B14" s="1">
        <v>41944</v>
      </c>
      <c r="C14" s="3">
        <v>20.8</v>
      </c>
      <c r="D14" s="3"/>
      <c r="E14" s="3">
        <v>49.6</v>
      </c>
      <c r="F14" s="3">
        <v>14.4</v>
      </c>
      <c r="G14" s="3">
        <v>34.4</v>
      </c>
      <c r="H14" s="3">
        <v>44.8</v>
      </c>
      <c r="I14" s="3">
        <v>14.3</v>
      </c>
      <c r="J14" s="3">
        <v>32.6</v>
      </c>
    </row>
    <row r="15" spans="2:11" x14ac:dyDescent="0.25">
      <c r="B15" s="1">
        <v>41974</v>
      </c>
      <c r="C15" s="3">
        <v>0</v>
      </c>
      <c r="D15" s="3"/>
      <c r="E15" s="3">
        <v>0</v>
      </c>
      <c r="F15" s="3">
        <v>0</v>
      </c>
      <c r="G15" s="3">
        <v>0</v>
      </c>
      <c r="H15" s="3">
        <v>0</v>
      </c>
      <c r="I15" s="3">
        <v>0.6</v>
      </c>
      <c r="J15" s="3">
        <v>0</v>
      </c>
    </row>
    <row r="16" spans="2:11" ht="38.25" customHeight="1" x14ac:dyDescent="0.25">
      <c r="B16" s="7" t="s">
        <v>0</v>
      </c>
      <c r="C16" s="5">
        <v>1221.4000000000001</v>
      </c>
      <c r="D16" s="5" t="s">
        <v>4</v>
      </c>
      <c r="E16" s="5" t="s">
        <v>5</v>
      </c>
      <c r="F16" s="5" t="s">
        <v>6</v>
      </c>
      <c r="G16" s="5">
        <v>1144.8</v>
      </c>
      <c r="H16" s="5">
        <v>1122</v>
      </c>
      <c r="I16" s="5">
        <v>1108.4000000000001</v>
      </c>
      <c r="J16" s="5">
        <v>1303</v>
      </c>
    </row>
    <row r="18" spans="2:7" ht="21" x14ac:dyDescent="0.35">
      <c r="B18" s="10" t="s">
        <v>8</v>
      </c>
      <c r="G18">
        <f>AVERAGE(C16,G16,H16,I16)</f>
        <v>1149.1500000000001</v>
      </c>
    </row>
  </sheetData>
  <mergeCells count="1">
    <mergeCell ref="C2:J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0"/>
  <sheetViews>
    <sheetView workbookViewId="0">
      <selection activeCell="K8" sqref="K8"/>
    </sheetView>
  </sheetViews>
  <sheetFormatPr baseColWidth="10" defaultColWidth="11.42578125" defaultRowHeight="15" x14ac:dyDescent="0.25"/>
  <cols>
    <col min="3" max="3" width="13.5703125" customWidth="1"/>
    <col min="4" max="4" width="12.7109375" customWidth="1"/>
    <col min="5" max="5" width="12.85546875" customWidth="1"/>
    <col min="6" max="6" width="12.7109375" customWidth="1"/>
    <col min="7" max="7" width="14" customWidth="1"/>
    <col min="8" max="8" width="13.85546875" customWidth="1"/>
    <col min="9" max="9" width="14.28515625" customWidth="1"/>
    <col min="10" max="10" width="27.85546875" customWidth="1"/>
  </cols>
  <sheetData>
    <row r="1" spans="2:11" s="6" customFormat="1" x14ac:dyDescent="0.25"/>
    <row r="2" spans="2:11" ht="34.5" customHeight="1" x14ac:dyDescent="0.25">
      <c r="C2" s="108" t="s">
        <v>2</v>
      </c>
      <c r="D2" s="109"/>
      <c r="E2" s="109"/>
      <c r="F2" s="109"/>
      <c r="G2" s="109"/>
      <c r="H2" s="109"/>
      <c r="I2" s="109"/>
      <c r="J2" s="110"/>
    </row>
    <row r="3" spans="2:11" x14ac:dyDescent="0.25"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2:11" x14ac:dyDescent="0.25">
      <c r="B4" s="1">
        <v>42005</v>
      </c>
      <c r="C4" s="3">
        <v>0.4</v>
      </c>
      <c r="D4" s="3">
        <v>0</v>
      </c>
      <c r="E4" s="3">
        <v>0.2</v>
      </c>
      <c r="F4" s="3">
        <v>0</v>
      </c>
      <c r="G4" s="3">
        <v>0</v>
      </c>
      <c r="H4" s="3">
        <v>0.6</v>
      </c>
      <c r="I4" s="3">
        <v>0</v>
      </c>
      <c r="J4" s="3">
        <v>0</v>
      </c>
    </row>
    <row r="5" spans="2:11" x14ac:dyDescent="0.25">
      <c r="B5" s="1">
        <v>42036</v>
      </c>
      <c r="C5" s="3">
        <v>10.4</v>
      </c>
      <c r="D5" s="3">
        <v>0</v>
      </c>
      <c r="E5" s="3">
        <v>8.8000000000000007</v>
      </c>
      <c r="F5" s="3">
        <v>21.3</v>
      </c>
      <c r="G5" s="3">
        <v>6.6</v>
      </c>
      <c r="H5" s="3">
        <v>6.8</v>
      </c>
      <c r="I5" s="3">
        <v>3.5</v>
      </c>
      <c r="J5" s="3">
        <v>13.4</v>
      </c>
      <c r="K5">
        <f>AVERAGE(C5:I5)</f>
        <v>8.1999999999999993</v>
      </c>
    </row>
    <row r="6" spans="2:11" x14ac:dyDescent="0.25">
      <c r="B6" s="1">
        <v>42064</v>
      </c>
      <c r="C6" s="3">
        <v>4.5999999999999996</v>
      </c>
      <c r="D6" s="3">
        <v>3.8</v>
      </c>
      <c r="E6" s="3">
        <v>4.8</v>
      </c>
      <c r="F6" s="3">
        <v>4.8</v>
      </c>
      <c r="G6" s="3">
        <v>0.8</v>
      </c>
      <c r="H6" s="3">
        <v>1.8</v>
      </c>
      <c r="I6" s="3">
        <v>0.6</v>
      </c>
      <c r="J6" s="3">
        <v>3.2</v>
      </c>
      <c r="K6">
        <f>AVERAGE(C6:J6)</f>
        <v>3.0500000000000003</v>
      </c>
    </row>
    <row r="7" spans="2:11" x14ac:dyDescent="0.25">
      <c r="B7" s="1">
        <v>42095</v>
      </c>
      <c r="C7" s="3">
        <v>0.2</v>
      </c>
      <c r="D7" s="3">
        <v>0</v>
      </c>
      <c r="E7" s="3">
        <v>0.6</v>
      </c>
      <c r="F7" s="3">
        <v>6.9</v>
      </c>
      <c r="G7" s="3">
        <v>1.2</v>
      </c>
      <c r="H7" s="3">
        <v>0.2</v>
      </c>
      <c r="I7" s="3">
        <v>3.1</v>
      </c>
      <c r="J7" s="3">
        <v>5.6</v>
      </c>
      <c r="K7">
        <f>AVERAGE(C7:I7)</f>
        <v>1.7428571428571427</v>
      </c>
    </row>
    <row r="8" spans="2:11" x14ac:dyDescent="0.25">
      <c r="B8" s="1">
        <v>42125</v>
      </c>
      <c r="C8" s="3">
        <v>139</v>
      </c>
      <c r="D8" s="3">
        <v>92.1</v>
      </c>
      <c r="E8" s="3">
        <v>121.8</v>
      </c>
      <c r="F8" s="3">
        <v>144.1</v>
      </c>
      <c r="G8" s="3">
        <v>145.4</v>
      </c>
      <c r="H8" s="3">
        <v>109</v>
      </c>
      <c r="I8" s="3">
        <v>146.9</v>
      </c>
      <c r="J8" s="3">
        <v>113.4</v>
      </c>
      <c r="K8">
        <f>AVERAGE(C8:I8)</f>
        <v>128.32857142857142</v>
      </c>
    </row>
    <row r="9" spans="2:11" x14ac:dyDescent="0.25">
      <c r="B9" s="1">
        <v>42156</v>
      </c>
      <c r="C9" s="3">
        <v>101.8</v>
      </c>
      <c r="D9" s="3">
        <v>111.9</v>
      </c>
      <c r="E9" s="3">
        <v>110</v>
      </c>
      <c r="F9" s="3">
        <v>109.2</v>
      </c>
      <c r="G9" s="3">
        <v>74</v>
      </c>
      <c r="H9" s="3">
        <v>127.8</v>
      </c>
      <c r="I9" s="3">
        <v>117.9</v>
      </c>
      <c r="J9" s="3">
        <v>129</v>
      </c>
    </row>
    <row r="10" spans="2:11" x14ac:dyDescent="0.25">
      <c r="B10" s="1">
        <v>42186</v>
      </c>
      <c r="C10" s="3">
        <v>169.6</v>
      </c>
      <c r="D10" s="3">
        <v>170.5</v>
      </c>
      <c r="E10" s="3">
        <v>119.6</v>
      </c>
      <c r="F10" s="3">
        <v>167.3</v>
      </c>
      <c r="G10" s="3">
        <v>162</v>
      </c>
      <c r="H10" s="3">
        <v>160.80000000000001</v>
      </c>
      <c r="I10" s="3">
        <v>155.69999999999999</v>
      </c>
      <c r="J10" s="3">
        <v>167.2</v>
      </c>
    </row>
    <row r="11" spans="2:11" x14ac:dyDescent="0.25">
      <c r="B11" s="1">
        <v>42217</v>
      </c>
      <c r="C11" s="3">
        <v>247</v>
      </c>
      <c r="D11" s="3">
        <v>255.2</v>
      </c>
      <c r="E11" s="11" t="s">
        <v>7</v>
      </c>
      <c r="F11" s="3">
        <v>300.39999999999998</v>
      </c>
      <c r="G11" s="3">
        <v>312.60000000000002</v>
      </c>
      <c r="H11" s="3">
        <v>295.2</v>
      </c>
      <c r="I11" s="3">
        <v>252.7</v>
      </c>
      <c r="J11" s="3">
        <v>282.2</v>
      </c>
    </row>
    <row r="12" spans="2:11" x14ac:dyDescent="0.25">
      <c r="B12" s="1">
        <v>42248</v>
      </c>
      <c r="C12" s="3">
        <v>334.4</v>
      </c>
      <c r="D12" s="3">
        <v>308.5</v>
      </c>
      <c r="E12" s="3">
        <v>286.60000000000002</v>
      </c>
      <c r="F12" s="3">
        <v>274.5</v>
      </c>
      <c r="G12" s="3">
        <v>298.60000000000002</v>
      </c>
      <c r="H12" s="3">
        <v>301.8</v>
      </c>
      <c r="I12" s="3">
        <v>218.6</v>
      </c>
      <c r="J12" s="11"/>
    </row>
    <row r="13" spans="2:11" x14ac:dyDescent="0.25">
      <c r="B13" s="1">
        <v>42278</v>
      </c>
      <c r="C13" s="3">
        <v>21.2</v>
      </c>
      <c r="D13" s="3">
        <v>131.80000000000001</v>
      </c>
      <c r="E13" s="3">
        <v>129.6</v>
      </c>
      <c r="F13" s="3">
        <v>156.30000000000001</v>
      </c>
      <c r="G13" s="3">
        <v>104</v>
      </c>
      <c r="H13" s="3">
        <v>116.6</v>
      </c>
      <c r="I13" s="3">
        <v>126.2</v>
      </c>
      <c r="J13" s="11"/>
    </row>
    <row r="14" spans="2:11" x14ac:dyDescent="0.25">
      <c r="B14" s="1">
        <v>42309</v>
      </c>
      <c r="C14" s="3">
        <v>0</v>
      </c>
      <c r="D14" s="3">
        <v>1.4</v>
      </c>
      <c r="E14" s="3">
        <v>4.5999999999999996</v>
      </c>
      <c r="F14" s="3">
        <v>6.7</v>
      </c>
      <c r="G14" s="3">
        <v>2.2000000000000002</v>
      </c>
      <c r="H14" s="3">
        <v>2.8</v>
      </c>
      <c r="I14" s="3">
        <v>0.2</v>
      </c>
      <c r="J14" s="11"/>
    </row>
    <row r="15" spans="2:11" x14ac:dyDescent="0.25">
      <c r="B15" s="1">
        <v>42339</v>
      </c>
      <c r="C15" s="3">
        <v>0.2</v>
      </c>
      <c r="D15" s="3">
        <v>0</v>
      </c>
      <c r="E15" s="3">
        <v>0</v>
      </c>
      <c r="F15" s="3">
        <v>0.2</v>
      </c>
      <c r="G15" s="3">
        <v>0</v>
      </c>
      <c r="H15" s="3">
        <v>0</v>
      </c>
      <c r="I15" s="3">
        <v>0</v>
      </c>
      <c r="J15" s="11"/>
    </row>
    <row r="16" spans="2:11" ht="39.75" customHeight="1" x14ac:dyDescent="0.25">
      <c r="B16" s="7" t="s">
        <v>0</v>
      </c>
      <c r="C16" s="5">
        <v>1028.8</v>
      </c>
      <c r="D16" s="5">
        <v>1075.2</v>
      </c>
      <c r="E16" s="13" t="s">
        <v>9</v>
      </c>
      <c r="F16" s="5">
        <v>1191.7</v>
      </c>
      <c r="G16" s="5">
        <v>1107.4000000000001</v>
      </c>
      <c r="H16" s="5">
        <v>1123.4000000000001</v>
      </c>
      <c r="I16" s="5">
        <v>1025.4000000000001</v>
      </c>
      <c r="J16" s="14" t="s">
        <v>12</v>
      </c>
    </row>
    <row r="17" spans="2:11" s="6" customFormat="1" ht="39.75" customHeight="1" x14ac:dyDescent="0.25">
      <c r="B17" s="7"/>
      <c r="C17" s="7"/>
      <c r="D17" s="7"/>
      <c r="E17" s="8"/>
      <c r="F17" s="7"/>
      <c r="G17" s="7"/>
      <c r="H17" s="9"/>
      <c r="I17" s="9"/>
    </row>
    <row r="18" spans="2:11" x14ac:dyDescent="0.25">
      <c r="C18" s="12" t="s">
        <v>22</v>
      </c>
      <c r="D18" s="12"/>
      <c r="H18">
        <f>AVERAGE(C16,D16,F16,G16,H16,I16)</f>
        <v>1091.9833333333333</v>
      </c>
    </row>
    <row r="19" spans="2:11" x14ac:dyDescent="0.25">
      <c r="B19" s="12"/>
      <c r="C19" t="s">
        <v>23</v>
      </c>
    </row>
    <row r="20" spans="2:11" x14ac:dyDescent="0.25">
      <c r="I20" s="12"/>
      <c r="J20" s="12"/>
      <c r="K20" s="12"/>
    </row>
  </sheetData>
  <mergeCells count="1">
    <mergeCell ref="C2:J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workbookViewId="0">
      <selection activeCell="J8" sqref="J8"/>
    </sheetView>
  </sheetViews>
  <sheetFormatPr baseColWidth="10" defaultColWidth="11.42578125" defaultRowHeight="15" x14ac:dyDescent="0.25"/>
  <cols>
    <col min="1" max="1" width="10.5703125" customWidth="1"/>
    <col min="3" max="4" width="13.28515625" customWidth="1"/>
    <col min="5" max="5" width="14.5703125" customWidth="1"/>
    <col min="6" max="6" width="13.140625" customWidth="1"/>
    <col min="7" max="7" width="14" customWidth="1"/>
    <col min="8" max="8" width="14.5703125" customWidth="1"/>
    <col min="9" max="9" width="13.28515625" customWidth="1"/>
  </cols>
  <sheetData>
    <row r="2" spans="2:10" s="6" customFormat="1" ht="30" customHeight="1" x14ac:dyDescent="0.25">
      <c r="C2" s="108" t="s">
        <v>3</v>
      </c>
      <c r="D2" s="109"/>
      <c r="E2" s="109"/>
      <c r="F2" s="109"/>
      <c r="G2" s="109"/>
      <c r="H2" s="109"/>
      <c r="I2" s="109"/>
    </row>
    <row r="3" spans="2:10" x14ac:dyDescent="0.25"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spans="2:10" x14ac:dyDescent="0.25">
      <c r="B4" s="1">
        <v>42370</v>
      </c>
      <c r="C4" s="3">
        <v>1.8</v>
      </c>
      <c r="D4" s="3">
        <v>1</v>
      </c>
      <c r="E4" s="3">
        <v>1</v>
      </c>
      <c r="F4" s="3">
        <v>1</v>
      </c>
      <c r="G4" s="3">
        <v>0.2</v>
      </c>
      <c r="H4" s="3">
        <v>1.4</v>
      </c>
      <c r="I4" s="3">
        <v>0</v>
      </c>
    </row>
    <row r="5" spans="2:10" x14ac:dyDescent="0.25">
      <c r="B5" s="1">
        <v>42401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0.2</v>
      </c>
      <c r="I5" s="3">
        <v>0</v>
      </c>
    </row>
    <row r="6" spans="2:10" x14ac:dyDescent="0.25">
      <c r="B6" s="1">
        <v>42430</v>
      </c>
      <c r="C6" s="3">
        <v>11.8</v>
      </c>
      <c r="D6" s="3">
        <v>6.4</v>
      </c>
      <c r="E6" s="3">
        <v>31</v>
      </c>
      <c r="F6" s="3">
        <v>50</v>
      </c>
      <c r="G6" s="3">
        <v>1</v>
      </c>
      <c r="H6" s="3">
        <v>44.2</v>
      </c>
      <c r="I6" s="3">
        <v>0</v>
      </c>
      <c r="J6">
        <f>AVERAGE(C6:I6)</f>
        <v>20.62857142857143</v>
      </c>
    </row>
    <row r="7" spans="2:10" x14ac:dyDescent="0.25">
      <c r="B7" s="1">
        <v>42461</v>
      </c>
      <c r="C7" s="3">
        <v>19.399999999999999</v>
      </c>
      <c r="D7" s="3">
        <v>70.400000000000006</v>
      </c>
      <c r="E7" s="3">
        <v>91.4</v>
      </c>
      <c r="F7" s="3">
        <v>70.2</v>
      </c>
      <c r="G7" s="3">
        <v>57.8</v>
      </c>
      <c r="H7" s="3">
        <v>58.4</v>
      </c>
      <c r="I7" s="3">
        <v>29.6</v>
      </c>
      <c r="J7">
        <f>AVERAGE(C7:I7)</f>
        <v>56.742857142857147</v>
      </c>
    </row>
    <row r="8" spans="2:10" x14ac:dyDescent="0.25">
      <c r="B8" s="1">
        <v>42491</v>
      </c>
      <c r="C8" s="3">
        <v>34</v>
      </c>
      <c r="D8" s="3">
        <v>65.7</v>
      </c>
      <c r="E8" s="3">
        <v>63</v>
      </c>
      <c r="F8" s="3">
        <v>103.1</v>
      </c>
      <c r="G8" s="3">
        <v>82.4</v>
      </c>
      <c r="H8" s="3">
        <v>82.8</v>
      </c>
      <c r="I8" s="3">
        <v>120.2</v>
      </c>
      <c r="J8">
        <f>AVERAGE(C8:I8)</f>
        <v>78.742857142857133</v>
      </c>
    </row>
    <row r="9" spans="2:10" x14ac:dyDescent="0.25">
      <c r="B9" s="1">
        <v>42522</v>
      </c>
      <c r="C9" s="3">
        <v>74.8</v>
      </c>
      <c r="D9" s="3">
        <v>129.6</v>
      </c>
      <c r="E9" s="3">
        <v>119</v>
      </c>
      <c r="F9" s="3">
        <v>157.30000000000001</v>
      </c>
      <c r="G9" s="3">
        <v>93.4</v>
      </c>
      <c r="H9" s="3">
        <v>141.4</v>
      </c>
      <c r="I9" s="11" t="s">
        <v>10</v>
      </c>
    </row>
    <row r="10" spans="2:10" x14ac:dyDescent="0.25">
      <c r="B10" s="1">
        <v>42552</v>
      </c>
      <c r="C10" s="3">
        <v>210.6</v>
      </c>
      <c r="D10" s="3">
        <v>243.8</v>
      </c>
      <c r="E10" s="3">
        <v>247</v>
      </c>
      <c r="F10" s="3">
        <v>258.39999999999998</v>
      </c>
      <c r="G10" s="3">
        <v>260.39999999999998</v>
      </c>
      <c r="H10" s="3">
        <v>253.6</v>
      </c>
      <c r="I10" s="3">
        <v>235.2</v>
      </c>
    </row>
    <row r="11" spans="2:10" x14ac:dyDescent="0.25">
      <c r="B11" s="1">
        <v>42583</v>
      </c>
      <c r="C11" s="3">
        <v>310.60000000000002</v>
      </c>
      <c r="D11" s="3">
        <v>422.1</v>
      </c>
      <c r="E11" s="3">
        <v>479.6</v>
      </c>
      <c r="F11" s="3">
        <v>544</v>
      </c>
      <c r="G11" s="3">
        <v>365.2</v>
      </c>
      <c r="H11" s="3">
        <v>477.4</v>
      </c>
      <c r="I11" s="3">
        <v>407.6</v>
      </c>
    </row>
    <row r="12" spans="2:10" x14ac:dyDescent="0.25">
      <c r="B12" s="1">
        <v>42614</v>
      </c>
      <c r="C12" s="3">
        <v>183.4</v>
      </c>
      <c r="D12" s="3">
        <v>188.3</v>
      </c>
      <c r="E12" s="3">
        <v>194.2</v>
      </c>
      <c r="F12" s="3">
        <v>170.2</v>
      </c>
      <c r="G12" s="3">
        <v>219.8</v>
      </c>
      <c r="H12" s="3">
        <v>231.2</v>
      </c>
      <c r="I12" s="3">
        <v>170.7</v>
      </c>
    </row>
    <row r="13" spans="2:10" x14ac:dyDescent="0.25">
      <c r="B13" s="1">
        <v>42644</v>
      </c>
      <c r="C13" s="3">
        <v>20.2</v>
      </c>
      <c r="D13" s="3">
        <v>23.9</v>
      </c>
      <c r="E13" s="3">
        <v>32.6</v>
      </c>
      <c r="F13" s="3">
        <v>34.5</v>
      </c>
      <c r="G13" s="3">
        <v>30.4</v>
      </c>
      <c r="H13" s="3">
        <v>48.8</v>
      </c>
      <c r="I13" s="3">
        <v>28.9</v>
      </c>
    </row>
    <row r="14" spans="2:10" x14ac:dyDescent="0.25">
      <c r="B14" s="1">
        <v>42675</v>
      </c>
      <c r="C14" s="3">
        <v>37.200000000000003</v>
      </c>
      <c r="D14" s="3">
        <v>34.700000000000003</v>
      </c>
      <c r="E14" s="3">
        <v>22.2</v>
      </c>
      <c r="F14" s="3">
        <v>41.2</v>
      </c>
      <c r="G14" s="3">
        <v>37.799999999999997</v>
      </c>
      <c r="H14" s="3">
        <v>42</v>
      </c>
      <c r="I14" s="3">
        <v>31.8</v>
      </c>
    </row>
    <row r="15" spans="2:10" x14ac:dyDescent="0.25">
      <c r="B15" s="1">
        <v>42705</v>
      </c>
      <c r="C15" s="3">
        <v>0</v>
      </c>
      <c r="D15" s="3">
        <v>0</v>
      </c>
      <c r="E15" s="3">
        <v>0</v>
      </c>
      <c r="F15" s="3">
        <v>0.2</v>
      </c>
      <c r="G15" s="3">
        <v>0</v>
      </c>
      <c r="H15" s="3">
        <v>0</v>
      </c>
      <c r="I15" s="3">
        <v>0</v>
      </c>
    </row>
    <row r="16" spans="2:10" ht="42" customHeight="1" x14ac:dyDescent="0.25">
      <c r="B16" s="7" t="s">
        <v>0</v>
      </c>
      <c r="C16" s="5">
        <v>903.8</v>
      </c>
      <c r="D16" s="5">
        <v>1185.9000000000001</v>
      </c>
      <c r="E16" s="5">
        <v>1281</v>
      </c>
      <c r="F16" s="5">
        <v>1430.1</v>
      </c>
      <c r="G16" s="5">
        <v>1148.4000000000001</v>
      </c>
      <c r="H16" s="5">
        <v>1381.4</v>
      </c>
      <c r="I16" s="13" t="s">
        <v>11</v>
      </c>
    </row>
    <row r="18" spans="2:6" x14ac:dyDescent="0.25">
      <c r="B18" t="s">
        <v>25</v>
      </c>
      <c r="F18">
        <f>AVERAGE(C16,D16,E16,F16,G16,H16)</f>
        <v>1221.7666666666664</v>
      </c>
    </row>
  </sheetData>
  <mergeCells count="1">
    <mergeCell ref="C2:I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tabSelected="1" workbookViewId="0">
      <selection activeCell="J7" sqref="J7"/>
    </sheetView>
  </sheetViews>
  <sheetFormatPr baseColWidth="10" defaultColWidth="11.42578125" defaultRowHeight="15" x14ac:dyDescent="0.25"/>
  <cols>
    <col min="3" max="3" width="15.5703125" customWidth="1"/>
    <col min="4" max="4" width="17.7109375" customWidth="1"/>
    <col min="5" max="5" width="22.140625" customWidth="1"/>
    <col min="6" max="6" width="17" customWidth="1"/>
    <col min="7" max="7" width="13.42578125" customWidth="1"/>
    <col min="8" max="8" width="13.85546875" customWidth="1"/>
    <col min="9" max="9" width="14.140625" customWidth="1"/>
  </cols>
  <sheetData>
    <row r="2" spans="2:10" x14ac:dyDescent="0.25">
      <c r="B2" s="12"/>
      <c r="C2" s="111" t="s">
        <v>13</v>
      </c>
      <c r="D2" s="111"/>
      <c r="E2" s="111"/>
      <c r="F2" s="111"/>
      <c r="G2" s="111"/>
      <c r="H2" s="111"/>
      <c r="I2" s="111"/>
    </row>
    <row r="3" spans="2:10" x14ac:dyDescent="0.25">
      <c r="B3" s="12"/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spans="2:10" x14ac:dyDescent="0.25">
      <c r="B4" s="1">
        <v>42736</v>
      </c>
      <c r="C4" s="3">
        <v>0</v>
      </c>
      <c r="D4" s="3">
        <v>0.20100000000000001</v>
      </c>
      <c r="E4" s="3">
        <v>0.2</v>
      </c>
      <c r="F4" s="3">
        <v>0.20300000000000001</v>
      </c>
      <c r="G4" s="3">
        <v>0.4</v>
      </c>
      <c r="H4" s="3">
        <v>0.8</v>
      </c>
      <c r="I4" s="3">
        <v>0</v>
      </c>
    </row>
    <row r="5" spans="2:10" x14ac:dyDescent="0.25">
      <c r="B5" s="1">
        <v>42767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2:10" x14ac:dyDescent="0.25">
      <c r="B6" s="1">
        <v>42795</v>
      </c>
      <c r="C6" s="3">
        <v>11.4</v>
      </c>
      <c r="D6" s="3">
        <v>10.8</v>
      </c>
      <c r="E6" s="3">
        <v>0</v>
      </c>
      <c r="F6" s="3">
        <v>14</v>
      </c>
      <c r="G6" s="3">
        <v>12.2</v>
      </c>
      <c r="H6" s="3">
        <v>3.6</v>
      </c>
      <c r="I6" s="3">
        <v>0</v>
      </c>
      <c r="J6">
        <f>AVERAGE(C6:I6)</f>
        <v>7.4285714285714297</v>
      </c>
    </row>
    <row r="7" spans="2:10" x14ac:dyDescent="0.25">
      <c r="B7" s="1">
        <v>42826</v>
      </c>
      <c r="C7" s="3">
        <v>51</v>
      </c>
      <c r="D7" s="3">
        <v>57.1</v>
      </c>
      <c r="E7" s="3">
        <v>29.8</v>
      </c>
      <c r="F7" s="3">
        <v>69.2</v>
      </c>
      <c r="G7" s="3">
        <v>39.4</v>
      </c>
      <c r="H7" s="3">
        <v>66.8</v>
      </c>
      <c r="I7" s="3">
        <v>92.6</v>
      </c>
    </row>
    <row r="8" spans="2:10" x14ac:dyDescent="0.25">
      <c r="B8" s="1">
        <v>42856</v>
      </c>
      <c r="C8" s="3">
        <v>154</v>
      </c>
      <c r="D8" s="3">
        <v>149.5</v>
      </c>
      <c r="E8" s="3">
        <v>139.4</v>
      </c>
      <c r="F8" s="3">
        <v>139.80000000000001</v>
      </c>
      <c r="G8" s="3">
        <v>129</v>
      </c>
      <c r="H8" s="3">
        <v>106.8</v>
      </c>
      <c r="I8" s="3">
        <v>162.69999999999999</v>
      </c>
    </row>
    <row r="9" spans="2:10" x14ac:dyDescent="0.25">
      <c r="B9" s="1">
        <v>42887</v>
      </c>
      <c r="C9" s="3">
        <v>119</v>
      </c>
      <c r="D9" s="3">
        <v>164.4</v>
      </c>
      <c r="E9" s="3">
        <v>137.19999999999999</v>
      </c>
      <c r="F9" s="3">
        <v>183.5</v>
      </c>
      <c r="G9" s="3">
        <v>154.80000000000001</v>
      </c>
      <c r="H9" s="3">
        <v>121.6</v>
      </c>
      <c r="I9" s="16">
        <v>136.80000000000001</v>
      </c>
    </row>
    <row r="10" spans="2:10" x14ac:dyDescent="0.25">
      <c r="B10" s="1">
        <v>42917</v>
      </c>
      <c r="C10" s="3">
        <v>67</v>
      </c>
      <c r="D10" s="3">
        <v>210</v>
      </c>
      <c r="E10" s="3">
        <v>182.2</v>
      </c>
      <c r="F10" s="3">
        <v>164.4</v>
      </c>
      <c r="G10" s="3">
        <v>219.4</v>
      </c>
      <c r="H10" s="3">
        <v>157.80000000000001</v>
      </c>
      <c r="I10" s="3">
        <v>208.2</v>
      </c>
    </row>
    <row r="11" spans="2:10" x14ac:dyDescent="0.25">
      <c r="B11" s="1">
        <v>42948</v>
      </c>
      <c r="C11" s="3">
        <v>16.2</v>
      </c>
      <c r="D11" s="3">
        <v>262.7</v>
      </c>
      <c r="E11" s="3">
        <v>216.2</v>
      </c>
      <c r="F11" s="3">
        <v>202.7</v>
      </c>
      <c r="G11" s="3">
        <v>245.2</v>
      </c>
      <c r="H11" s="3">
        <v>171.8</v>
      </c>
      <c r="I11" s="3">
        <v>270.7</v>
      </c>
    </row>
    <row r="12" spans="2:10" x14ac:dyDescent="0.25">
      <c r="B12" s="1">
        <v>42979</v>
      </c>
      <c r="C12" s="3">
        <v>0</v>
      </c>
      <c r="D12" s="3">
        <v>91.45</v>
      </c>
      <c r="E12" s="3">
        <v>96.8</v>
      </c>
      <c r="F12" s="3">
        <v>138.4</v>
      </c>
      <c r="G12" s="3">
        <v>100.2</v>
      </c>
      <c r="H12" s="3">
        <v>122.4</v>
      </c>
      <c r="I12" s="3">
        <v>65</v>
      </c>
    </row>
    <row r="13" spans="2:10" x14ac:dyDescent="0.25">
      <c r="B13" s="1">
        <v>43009</v>
      </c>
      <c r="C13" s="3">
        <v>0.2</v>
      </c>
      <c r="D13" s="3">
        <v>26.73</v>
      </c>
      <c r="E13" s="3">
        <v>30.8</v>
      </c>
      <c r="F13" s="3">
        <v>36.700000000000003</v>
      </c>
      <c r="G13" s="3">
        <v>21.8</v>
      </c>
      <c r="H13" s="3">
        <v>36.799999999999997</v>
      </c>
      <c r="I13" s="3">
        <v>18.899999999999999</v>
      </c>
    </row>
    <row r="14" spans="2:10" x14ac:dyDescent="0.25">
      <c r="B14" s="1">
        <v>43040</v>
      </c>
      <c r="C14" s="3">
        <v>2.2000000000000002</v>
      </c>
      <c r="D14" s="3">
        <v>0.60299999999999998</v>
      </c>
      <c r="E14" s="3">
        <v>1.8</v>
      </c>
      <c r="F14" s="3">
        <v>6.69</v>
      </c>
      <c r="G14" s="3">
        <v>0</v>
      </c>
      <c r="H14" s="3">
        <v>0.2</v>
      </c>
      <c r="I14" s="3">
        <v>0.61199999999999999</v>
      </c>
    </row>
    <row r="15" spans="2:10" x14ac:dyDescent="0.25">
      <c r="B15" s="1">
        <v>43070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0.20399999999999999</v>
      </c>
    </row>
    <row r="16" spans="2:10" x14ac:dyDescent="0.25">
      <c r="B16" s="7" t="s">
        <v>0</v>
      </c>
      <c r="C16" s="5">
        <v>421</v>
      </c>
      <c r="D16" s="5">
        <v>973.4</v>
      </c>
      <c r="E16" s="5">
        <v>834.4</v>
      </c>
      <c r="F16" s="5">
        <v>955.59</v>
      </c>
      <c r="G16" s="5">
        <v>922.4</v>
      </c>
      <c r="H16" s="5">
        <v>788.6</v>
      </c>
      <c r="I16" s="17">
        <v>955.7</v>
      </c>
    </row>
    <row r="17" spans="2:9" x14ac:dyDescent="0.25">
      <c r="B17" s="12"/>
      <c r="C17" s="12"/>
      <c r="D17" s="12"/>
      <c r="E17" s="12"/>
      <c r="F17" s="12"/>
      <c r="G17" s="12"/>
      <c r="H17" s="12"/>
      <c r="I17" s="12"/>
    </row>
    <row r="18" spans="2:9" x14ac:dyDescent="0.25">
      <c r="B18" s="12"/>
      <c r="C18" s="12"/>
      <c r="D18" s="12"/>
      <c r="E18" s="12">
        <f>AVERAGE(D16,E16,F16,G16,H16,I16)</f>
        <v>905.01499999999999</v>
      </c>
      <c r="F18" s="12"/>
      <c r="G18" s="12"/>
      <c r="H18" s="12"/>
      <c r="I18" s="12"/>
    </row>
  </sheetData>
  <mergeCells count="1">
    <mergeCell ref="C2:I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topLeftCell="A13" workbookViewId="0">
      <selection activeCell="E36" sqref="E36"/>
    </sheetView>
  </sheetViews>
  <sheetFormatPr baseColWidth="10" defaultColWidth="11.42578125" defaultRowHeight="15" x14ac:dyDescent="0.25"/>
  <cols>
    <col min="1" max="1" width="17.28515625" customWidth="1"/>
    <col min="2" max="2" width="13.42578125" customWidth="1"/>
    <col min="4" max="4" width="15.28515625" customWidth="1"/>
    <col min="9" max="9" width="17.42578125" customWidth="1"/>
    <col min="14" max="14" width="14.42578125" customWidth="1"/>
    <col min="19" max="19" width="14.42578125" customWidth="1"/>
    <col min="24" max="24" width="16.42578125" customWidth="1"/>
  </cols>
  <sheetData>
    <row r="1" spans="1:24" x14ac:dyDescent="0.25">
      <c r="A1" s="112" t="s">
        <v>26</v>
      </c>
      <c r="B1" s="113"/>
      <c r="C1" s="113"/>
      <c r="D1" s="113"/>
      <c r="E1" s="12"/>
      <c r="F1" s="112" t="s">
        <v>27</v>
      </c>
      <c r="G1" s="113"/>
      <c r="H1" s="113"/>
      <c r="I1" s="113"/>
      <c r="K1" s="112" t="s">
        <v>32</v>
      </c>
      <c r="L1" s="113"/>
      <c r="M1" s="113"/>
      <c r="N1" s="113"/>
      <c r="O1" s="12"/>
      <c r="P1" s="112" t="s">
        <v>33</v>
      </c>
      <c r="Q1" s="113"/>
      <c r="R1" s="113"/>
      <c r="S1" s="113"/>
      <c r="T1" s="12"/>
      <c r="U1" s="112" t="s">
        <v>34</v>
      </c>
      <c r="V1" s="113"/>
      <c r="W1" s="113"/>
      <c r="X1" s="113"/>
    </row>
    <row r="2" spans="1:24" x14ac:dyDescent="0.25">
      <c r="A2" s="15" t="s">
        <v>39</v>
      </c>
      <c r="B2" s="15" t="s">
        <v>28</v>
      </c>
      <c r="C2" s="4" t="s">
        <v>29</v>
      </c>
      <c r="D2" s="4" t="s">
        <v>30</v>
      </c>
      <c r="E2" s="12"/>
      <c r="F2" s="15" t="s">
        <v>39</v>
      </c>
      <c r="G2" s="15" t="s">
        <v>28</v>
      </c>
      <c r="H2" s="4" t="s">
        <v>29</v>
      </c>
      <c r="I2" s="4" t="s">
        <v>30</v>
      </c>
      <c r="K2" s="15" t="s">
        <v>35</v>
      </c>
      <c r="L2" s="15" t="s">
        <v>40</v>
      </c>
      <c r="M2" s="4" t="s">
        <v>29</v>
      </c>
      <c r="N2" s="4" t="s">
        <v>30</v>
      </c>
      <c r="O2" s="12"/>
      <c r="P2" s="15" t="s">
        <v>41</v>
      </c>
      <c r="Q2" s="15" t="s">
        <v>28</v>
      </c>
      <c r="R2" s="4" t="s">
        <v>29</v>
      </c>
      <c r="S2" s="4" t="s">
        <v>30</v>
      </c>
      <c r="T2" s="12"/>
      <c r="U2" s="15" t="s">
        <v>35</v>
      </c>
      <c r="V2" s="15" t="s">
        <v>28</v>
      </c>
      <c r="W2" s="4" t="s">
        <v>29</v>
      </c>
      <c r="X2" s="4" t="s">
        <v>30</v>
      </c>
    </row>
    <row r="3" spans="1:24" x14ac:dyDescent="0.25">
      <c r="A3" s="18">
        <v>43221</v>
      </c>
      <c r="B3" s="18">
        <v>43222</v>
      </c>
      <c r="C3" s="19">
        <v>0.25</v>
      </c>
      <c r="D3" s="3">
        <v>0</v>
      </c>
      <c r="E3" s="12"/>
      <c r="F3" s="18">
        <v>43252</v>
      </c>
      <c r="G3" s="18">
        <v>43253</v>
      </c>
      <c r="H3" s="19">
        <v>0.25</v>
      </c>
      <c r="I3" s="3">
        <v>7</v>
      </c>
      <c r="K3" s="22">
        <v>43282</v>
      </c>
      <c r="L3" s="22">
        <v>43283</v>
      </c>
      <c r="M3" s="19">
        <v>0.25</v>
      </c>
      <c r="N3" s="3">
        <v>0</v>
      </c>
      <c r="O3" s="12"/>
      <c r="P3" s="18">
        <v>43313</v>
      </c>
      <c r="Q3" s="18">
        <v>43314</v>
      </c>
      <c r="R3" s="19">
        <v>0.25</v>
      </c>
      <c r="S3" s="3">
        <v>0</v>
      </c>
      <c r="T3" s="12"/>
      <c r="U3" s="18">
        <v>43344</v>
      </c>
      <c r="V3" s="18">
        <v>43345</v>
      </c>
      <c r="W3" s="19">
        <v>0.25</v>
      </c>
      <c r="X3" s="3">
        <v>0</v>
      </c>
    </row>
    <row r="4" spans="1:24" x14ac:dyDescent="0.25">
      <c r="A4" s="18">
        <v>43222</v>
      </c>
      <c r="B4" s="18">
        <v>43223</v>
      </c>
      <c r="C4" s="19">
        <v>0.25</v>
      </c>
      <c r="D4" s="3">
        <v>0</v>
      </c>
      <c r="E4" s="12"/>
      <c r="F4" s="18">
        <v>43253</v>
      </c>
      <c r="G4" s="18">
        <v>43254</v>
      </c>
      <c r="H4" s="19">
        <v>0.25</v>
      </c>
      <c r="I4" s="3">
        <v>0</v>
      </c>
      <c r="K4" s="22">
        <v>43283</v>
      </c>
      <c r="L4" s="22">
        <v>43284</v>
      </c>
      <c r="M4" s="19">
        <v>0.25</v>
      </c>
      <c r="N4" s="3">
        <v>0</v>
      </c>
      <c r="O4" s="12"/>
      <c r="P4" s="18">
        <v>43314</v>
      </c>
      <c r="Q4" s="18">
        <v>43315</v>
      </c>
      <c r="R4" s="19">
        <v>0.25</v>
      </c>
      <c r="S4" s="3">
        <v>0</v>
      </c>
      <c r="T4" s="12"/>
      <c r="U4" s="18">
        <v>43345</v>
      </c>
      <c r="V4" s="18">
        <v>43346</v>
      </c>
      <c r="W4" s="19">
        <v>0.25</v>
      </c>
      <c r="X4" s="3">
        <v>0</v>
      </c>
    </row>
    <row r="5" spans="1:24" x14ac:dyDescent="0.25">
      <c r="A5" s="18">
        <v>43223</v>
      </c>
      <c r="B5" s="18">
        <v>43224</v>
      </c>
      <c r="C5" s="19">
        <v>0.25</v>
      </c>
      <c r="D5" s="3">
        <v>0</v>
      </c>
      <c r="E5" s="12"/>
      <c r="F5" s="18">
        <v>43254</v>
      </c>
      <c r="G5" s="18">
        <v>43255</v>
      </c>
      <c r="H5" s="19">
        <v>0.25</v>
      </c>
      <c r="I5" s="3">
        <v>0</v>
      </c>
      <c r="K5" s="22">
        <v>43284</v>
      </c>
      <c r="L5" s="22">
        <v>43285</v>
      </c>
      <c r="M5" s="19">
        <v>0.25</v>
      </c>
      <c r="N5" s="3">
        <v>11</v>
      </c>
      <c r="O5" s="12"/>
      <c r="P5" s="18">
        <v>43315</v>
      </c>
      <c r="Q5" s="18">
        <v>43316</v>
      </c>
      <c r="R5" s="19">
        <v>0.25</v>
      </c>
      <c r="S5" s="3">
        <v>0</v>
      </c>
      <c r="T5" s="12"/>
      <c r="U5" s="18">
        <v>43346</v>
      </c>
      <c r="V5" s="18">
        <v>43347</v>
      </c>
      <c r="W5" s="19">
        <v>0.25</v>
      </c>
      <c r="X5" s="3">
        <v>3</v>
      </c>
    </row>
    <row r="6" spans="1:24" x14ac:dyDescent="0.25">
      <c r="A6" s="18">
        <v>43224</v>
      </c>
      <c r="B6" s="18">
        <v>43225</v>
      </c>
      <c r="C6" s="19">
        <v>0.25</v>
      </c>
      <c r="D6" s="3">
        <v>0</v>
      </c>
      <c r="E6" s="12"/>
      <c r="F6" s="18">
        <v>43255</v>
      </c>
      <c r="G6" s="18">
        <v>43256</v>
      </c>
      <c r="H6" s="19">
        <v>0.25</v>
      </c>
      <c r="I6" s="3">
        <v>0</v>
      </c>
      <c r="K6" s="22">
        <v>43285</v>
      </c>
      <c r="L6" s="22">
        <v>43286</v>
      </c>
      <c r="M6" s="19">
        <v>0.25</v>
      </c>
      <c r="N6" s="3">
        <v>4</v>
      </c>
      <c r="O6" s="12"/>
      <c r="P6" s="18">
        <v>43316</v>
      </c>
      <c r="Q6" s="18">
        <v>43317</v>
      </c>
      <c r="R6" s="19">
        <v>0.25</v>
      </c>
      <c r="S6" s="3">
        <v>58</v>
      </c>
      <c r="T6" s="12"/>
      <c r="U6" s="18">
        <v>43347</v>
      </c>
      <c r="V6" s="18">
        <v>43348</v>
      </c>
      <c r="W6" s="19">
        <v>0.25</v>
      </c>
      <c r="X6" s="3">
        <v>19</v>
      </c>
    </row>
    <row r="7" spans="1:24" x14ac:dyDescent="0.25">
      <c r="A7" s="18">
        <v>43225</v>
      </c>
      <c r="B7" s="18">
        <v>43226</v>
      </c>
      <c r="C7" s="19">
        <v>0.25</v>
      </c>
      <c r="D7" s="3">
        <v>0</v>
      </c>
      <c r="E7" s="12"/>
      <c r="F7" s="18">
        <v>43256</v>
      </c>
      <c r="G7" s="18">
        <v>43257</v>
      </c>
      <c r="H7" s="19">
        <v>0.25</v>
      </c>
      <c r="I7" s="3">
        <v>24</v>
      </c>
      <c r="K7" s="22">
        <v>43286</v>
      </c>
      <c r="L7" s="22">
        <v>43287</v>
      </c>
      <c r="M7" s="19">
        <v>0.25</v>
      </c>
      <c r="N7" s="3">
        <v>4</v>
      </c>
      <c r="O7" s="12"/>
      <c r="P7" s="18">
        <v>43317</v>
      </c>
      <c r="Q7" s="18">
        <v>43318</v>
      </c>
      <c r="R7" s="19">
        <v>0.25</v>
      </c>
      <c r="S7" s="3">
        <v>0</v>
      </c>
      <c r="T7" s="12"/>
      <c r="U7" s="18">
        <v>43348</v>
      </c>
      <c r="V7" s="18">
        <v>43349</v>
      </c>
      <c r="W7" s="19">
        <v>0.25</v>
      </c>
      <c r="X7" s="3">
        <v>31</v>
      </c>
    </row>
    <row r="8" spans="1:24" x14ac:dyDescent="0.25">
      <c r="A8" s="18">
        <v>43226</v>
      </c>
      <c r="B8" s="18">
        <v>43227</v>
      </c>
      <c r="C8" s="19">
        <v>0.25</v>
      </c>
      <c r="D8" s="3">
        <v>0</v>
      </c>
      <c r="E8" s="12"/>
      <c r="F8" s="18">
        <v>43257</v>
      </c>
      <c r="G8" s="18">
        <v>43258</v>
      </c>
      <c r="H8" s="19">
        <v>0.25</v>
      </c>
      <c r="I8" s="3">
        <v>6</v>
      </c>
      <c r="K8" s="22">
        <v>43287</v>
      </c>
      <c r="L8" s="22">
        <v>43288</v>
      </c>
      <c r="M8" s="19">
        <v>0.25</v>
      </c>
      <c r="N8" s="3">
        <v>10</v>
      </c>
      <c r="O8" s="12"/>
      <c r="P8" s="18">
        <v>43318</v>
      </c>
      <c r="Q8" s="18">
        <v>43319</v>
      </c>
      <c r="R8" s="19">
        <v>0.25</v>
      </c>
      <c r="S8" s="3">
        <v>0</v>
      </c>
      <c r="T8" s="12"/>
      <c r="U8" s="18">
        <v>43349</v>
      </c>
      <c r="V8" s="18">
        <v>43350</v>
      </c>
      <c r="W8" s="19">
        <v>0.25</v>
      </c>
      <c r="X8" s="3">
        <v>0</v>
      </c>
    </row>
    <row r="9" spans="1:24" x14ac:dyDescent="0.25">
      <c r="A9" s="18">
        <v>43227</v>
      </c>
      <c r="B9" s="18">
        <v>43228</v>
      </c>
      <c r="C9" s="19">
        <v>0.25</v>
      </c>
      <c r="D9" s="3">
        <v>0</v>
      </c>
      <c r="E9" s="12"/>
      <c r="F9" s="18">
        <v>43258</v>
      </c>
      <c r="G9" s="18">
        <v>43259</v>
      </c>
      <c r="H9" s="19">
        <v>0.25</v>
      </c>
      <c r="I9" s="3">
        <v>0</v>
      </c>
      <c r="K9" s="22">
        <v>43288</v>
      </c>
      <c r="L9" s="22">
        <v>43289</v>
      </c>
      <c r="M9" s="19">
        <v>0.25</v>
      </c>
      <c r="N9" s="3">
        <v>8</v>
      </c>
      <c r="O9" s="12"/>
      <c r="P9" s="18">
        <v>43319</v>
      </c>
      <c r="Q9" s="18">
        <v>43320</v>
      </c>
      <c r="R9" s="19">
        <v>0.25</v>
      </c>
      <c r="S9" s="3">
        <v>37</v>
      </c>
      <c r="T9" s="12"/>
      <c r="U9" s="18">
        <v>43350</v>
      </c>
      <c r="V9" s="18">
        <v>43351</v>
      </c>
      <c r="W9" s="19">
        <v>0.25</v>
      </c>
      <c r="X9" s="3">
        <v>1</v>
      </c>
    </row>
    <row r="10" spans="1:24" x14ac:dyDescent="0.25">
      <c r="A10" s="18">
        <v>43228</v>
      </c>
      <c r="B10" s="18">
        <v>43229</v>
      </c>
      <c r="C10" s="19">
        <v>0.25</v>
      </c>
      <c r="D10" s="3">
        <v>0</v>
      </c>
      <c r="E10" s="12"/>
      <c r="F10" s="18">
        <v>43259</v>
      </c>
      <c r="G10" s="18">
        <v>43260</v>
      </c>
      <c r="H10" s="19">
        <v>0.25</v>
      </c>
      <c r="I10" s="3">
        <v>0</v>
      </c>
      <c r="K10" s="22">
        <v>43289</v>
      </c>
      <c r="L10" s="22">
        <v>43290</v>
      </c>
      <c r="M10" s="19">
        <v>0.25</v>
      </c>
      <c r="N10" s="3">
        <v>0</v>
      </c>
      <c r="O10" s="12"/>
      <c r="P10" s="18">
        <v>43320</v>
      </c>
      <c r="Q10" s="18">
        <v>43321</v>
      </c>
      <c r="R10" s="19">
        <v>0.25</v>
      </c>
      <c r="S10" s="3">
        <v>0</v>
      </c>
      <c r="T10" s="12"/>
      <c r="U10" s="18">
        <v>43351</v>
      </c>
      <c r="V10" s="18">
        <v>43352</v>
      </c>
      <c r="W10" s="19">
        <v>0.25</v>
      </c>
      <c r="X10" s="3">
        <v>0</v>
      </c>
    </row>
    <row r="11" spans="1:24" x14ac:dyDescent="0.25">
      <c r="A11" s="18">
        <v>43229</v>
      </c>
      <c r="B11" s="18">
        <v>43230</v>
      </c>
      <c r="C11" s="19">
        <v>0.25</v>
      </c>
      <c r="D11" s="3">
        <v>0</v>
      </c>
      <c r="E11" s="12"/>
      <c r="F11" s="18">
        <v>43260</v>
      </c>
      <c r="G11" s="18">
        <v>43261</v>
      </c>
      <c r="H11" s="19">
        <v>0.25</v>
      </c>
      <c r="I11" s="3">
        <v>0</v>
      </c>
      <c r="K11" s="22">
        <v>43290</v>
      </c>
      <c r="L11" s="22">
        <v>43291</v>
      </c>
      <c r="M11" s="19">
        <v>0.25</v>
      </c>
      <c r="N11" s="3">
        <v>0</v>
      </c>
      <c r="O11" s="12"/>
      <c r="P11" s="18">
        <v>43321</v>
      </c>
      <c r="Q11" s="18">
        <v>43322</v>
      </c>
      <c r="R11" s="19">
        <v>0.25</v>
      </c>
      <c r="S11" s="3">
        <v>12</v>
      </c>
      <c r="T11" s="12"/>
      <c r="U11" s="18">
        <v>43352</v>
      </c>
      <c r="V11" s="18">
        <v>43353</v>
      </c>
      <c r="W11" s="19">
        <v>0.25</v>
      </c>
      <c r="X11" s="3">
        <v>2</v>
      </c>
    </row>
    <row r="12" spans="1:24" x14ac:dyDescent="0.25">
      <c r="A12" s="18">
        <v>43230</v>
      </c>
      <c r="B12" s="18">
        <v>43231</v>
      </c>
      <c r="C12" s="19">
        <v>0.25</v>
      </c>
      <c r="D12" s="3">
        <v>30</v>
      </c>
      <c r="E12" s="12"/>
      <c r="F12" s="18">
        <v>43261</v>
      </c>
      <c r="G12" s="18">
        <v>43262</v>
      </c>
      <c r="H12" s="19">
        <v>0.25</v>
      </c>
      <c r="I12" s="3">
        <v>2</v>
      </c>
      <c r="K12" s="22">
        <v>43291</v>
      </c>
      <c r="L12" s="22">
        <v>43292</v>
      </c>
      <c r="M12" s="19">
        <v>0.25</v>
      </c>
      <c r="N12" s="3">
        <v>0</v>
      </c>
      <c r="O12" s="12"/>
      <c r="P12" s="18">
        <v>43322</v>
      </c>
      <c r="Q12" s="18">
        <v>43323</v>
      </c>
      <c r="R12" s="19">
        <v>0.25</v>
      </c>
      <c r="S12" s="3">
        <v>28</v>
      </c>
      <c r="T12" s="12"/>
      <c r="U12" s="18">
        <v>43353</v>
      </c>
      <c r="V12" s="18">
        <v>43354</v>
      </c>
      <c r="W12" s="19">
        <v>0.25</v>
      </c>
      <c r="X12" s="3">
        <v>3</v>
      </c>
    </row>
    <row r="13" spans="1:24" x14ac:dyDescent="0.25">
      <c r="A13" s="18">
        <v>43231</v>
      </c>
      <c r="B13" s="18">
        <v>43232</v>
      </c>
      <c r="C13" s="19">
        <v>0.25</v>
      </c>
      <c r="D13" s="3">
        <v>0</v>
      </c>
      <c r="E13" s="12"/>
      <c r="F13" s="18">
        <v>43262</v>
      </c>
      <c r="G13" s="18">
        <v>43263</v>
      </c>
      <c r="H13" s="19">
        <v>0.25</v>
      </c>
      <c r="I13" s="3">
        <v>12</v>
      </c>
      <c r="K13" s="22">
        <v>43292</v>
      </c>
      <c r="L13" s="22">
        <v>43293</v>
      </c>
      <c r="M13" s="19">
        <v>0.25</v>
      </c>
      <c r="N13" s="3">
        <v>12</v>
      </c>
      <c r="O13" s="12"/>
      <c r="P13" s="18">
        <v>43323</v>
      </c>
      <c r="Q13" s="18">
        <v>43324</v>
      </c>
      <c r="R13" s="19">
        <v>0.25</v>
      </c>
      <c r="S13" s="3">
        <v>10</v>
      </c>
      <c r="T13" s="12"/>
      <c r="U13" s="18">
        <v>43354</v>
      </c>
      <c r="V13" s="18">
        <v>43355</v>
      </c>
      <c r="W13" s="19">
        <v>0.25</v>
      </c>
      <c r="X13" s="3">
        <v>0</v>
      </c>
    </row>
    <row r="14" spans="1:24" x14ac:dyDescent="0.25">
      <c r="A14" s="18">
        <v>43232</v>
      </c>
      <c r="B14" s="18">
        <v>43233</v>
      </c>
      <c r="C14" s="19">
        <v>0.25</v>
      </c>
      <c r="D14" s="3">
        <v>0</v>
      </c>
      <c r="E14" s="12"/>
      <c r="F14" s="18">
        <v>43263</v>
      </c>
      <c r="G14" s="18">
        <v>43264</v>
      </c>
      <c r="H14" s="19">
        <v>0.25</v>
      </c>
      <c r="I14" s="3">
        <v>0</v>
      </c>
      <c r="K14" s="22">
        <v>43293</v>
      </c>
      <c r="L14" s="22">
        <v>43294</v>
      </c>
      <c r="M14" s="19">
        <v>0.25</v>
      </c>
      <c r="N14" s="3">
        <v>0</v>
      </c>
      <c r="O14" s="12"/>
      <c r="P14" s="18">
        <v>43324</v>
      </c>
      <c r="Q14" s="18">
        <v>43325</v>
      </c>
      <c r="R14" s="19">
        <v>0.25</v>
      </c>
      <c r="S14" s="3">
        <v>0</v>
      </c>
      <c r="T14" s="12"/>
      <c r="U14" s="18">
        <v>43355</v>
      </c>
      <c r="V14" s="18">
        <v>43356</v>
      </c>
      <c r="W14" s="19">
        <v>0.25</v>
      </c>
      <c r="X14" s="3">
        <v>0</v>
      </c>
    </row>
    <row r="15" spans="1:24" x14ac:dyDescent="0.25">
      <c r="A15" s="18">
        <v>43233</v>
      </c>
      <c r="B15" s="18">
        <v>43234</v>
      </c>
      <c r="C15" s="19">
        <v>0.25</v>
      </c>
      <c r="D15" s="3">
        <v>0</v>
      </c>
      <c r="E15" s="12"/>
      <c r="F15" s="18">
        <v>43264</v>
      </c>
      <c r="G15" s="18">
        <v>43265</v>
      </c>
      <c r="H15" s="19">
        <v>0.25</v>
      </c>
      <c r="I15" s="3">
        <v>0</v>
      </c>
      <c r="K15" s="22">
        <v>43294</v>
      </c>
      <c r="L15" s="22">
        <v>43295</v>
      </c>
      <c r="M15" s="19">
        <v>0.25</v>
      </c>
      <c r="N15" s="3">
        <v>0</v>
      </c>
      <c r="O15" s="12"/>
      <c r="P15" s="18">
        <v>43325</v>
      </c>
      <c r="Q15" s="18">
        <v>43326</v>
      </c>
      <c r="R15" s="19">
        <v>0.25</v>
      </c>
      <c r="S15" s="3">
        <v>0</v>
      </c>
      <c r="T15" s="12"/>
      <c r="U15" s="18">
        <v>43356</v>
      </c>
      <c r="V15" s="18">
        <v>43357</v>
      </c>
      <c r="W15" s="19">
        <v>0.25</v>
      </c>
      <c r="X15" s="3">
        <v>0</v>
      </c>
    </row>
    <row r="16" spans="1:24" x14ac:dyDescent="0.25">
      <c r="A16" s="18">
        <v>43234</v>
      </c>
      <c r="B16" s="18">
        <v>43235</v>
      </c>
      <c r="C16" s="19">
        <v>0.25</v>
      </c>
      <c r="D16" s="3">
        <v>0</v>
      </c>
      <c r="E16" s="12"/>
      <c r="F16" s="18">
        <v>43265</v>
      </c>
      <c r="G16" s="18">
        <v>43266</v>
      </c>
      <c r="H16" s="19">
        <v>0.25</v>
      </c>
      <c r="I16" s="20">
        <v>34</v>
      </c>
      <c r="K16" s="22">
        <v>43295</v>
      </c>
      <c r="L16" s="22">
        <v>43296</v>
      </c>
      <c r="M16" s="19">
        <v>0.25</v>
      </c>
      <c r="N16" s="3">
        <v>0</v>
      </c>
      <c r="O16" s="12"/>
      <c r="P16" s="18">
        <v>43326</v>
      </c>
      <c r="Q16" s="18">
        <v>43327</v>
      </c>
      <c r="R16" s="19">
        <v>0.25</v>
      </c>
      <c r="S16" s="3">
        <v>39</v>
      </c>
      <c r="T16" s="12"/>
      <c r="U16" s="18">
        <v>43357</v>
      </c>
      <c r="V16" s="18">
        <v>43358</v>
      </c>
      <c r="W16" s="19">
        <v>0.25</v>
      </c>
      <c r="X16" s="3">
        <v>8</v>
      </c>
    </row>
    <row r="17" spans="1:24" x14ac:dyDescent="0.25">
      <c r="A17" s="18">
        <v>43235</v>
      </c>
      <c r="B17" s="18">
        <v>43236</v>
      </c>
      <c r="C17" s="19">
        <v>0.25</v>
      </c>
      <c r="D17" s="3">
        <v>16</v>
      </c>
      <c r="E17" s="12"/>
      <c r="F17" s="18">
        <v>43266</v>
      </c>
      <c r="G17" s="18">
        <v>43267</v>
      </c>
      <c r="H17" s="19">
        <v>0.25</v>
      </c>
      <c r="I17" s="3">
        <v>0</v>
      </c>
      <c r="K17" s="22">
        <v>43296</v>
      </c>
      <c r="L17" s="22">
        <v>43297</v>
      </c>
      <c r="M17" s="19">
        <v>0.25</v>
      </c>
      <c r="N17" s="3">
        <v>0</v>
      </c>
      <c r="O17" s="12"/>
      <c r="P17" s="18">
        <v>43327</v>
      </c>
      <c r="Q17" s="18">
        <v>43328</v>
      </c>
      <c r="R17" s="19">
        <v>0.25</v>
      </c>
      <c r="S17" s="3">
        <v>8</v>
      </c>
      <c r="T17" s="12"/>
      <c r="U17" s="18">
        <v>43358</v>
      </c>
      <c r="V17" s="18">
        <v>43359</v>
      </c>
      <c r="W17" s="19">
        <v>0.25</v>
      </c>
      <c r="X17" s="3">
        <v>0</v>
      </c>
    </row>
    <row r="18" spans="1:24" x14ac:dyDescent="0.25">
      <c r="A18" s="18">
        <v>43236</v>
      </c>
      <c r="B18" s="18">
        <v>43237</v>
      </c>
      <c r="C18" s="19">
        <v>0.25</v>
      </c>
      <c r="D18" s="3">
        <v>0</v>
      </c>
      <c r="E18" s="12"/>
      <c r="F18" s="18">
        <v>43267</v>
      </c>
      <c r="G18" s="18">
        <v>43268</v>
      </c>
      <c r="H18" s="19">
        <v>0.25</v>
      </c>
      <c r="I18" s="3">
        <v>0</v>
      </c>
      <c r="K18" s="22">
        <v>43297</v>
      </c>
      <c r="L18" s="22">
        <v>43298</v>
      </c>
      <c r="M18" s="19">
        <v>0.25</v>
      </c>
      <c r="N18" s="3">
        <v>0</v>
      </c>
      <c r="O18" s="12"/>
      <c r="P18" s="18">
        <v>43328</v>
      </c>
      <c r="Q18" s="18">
        <v>43329</v>
      </c>
      <c r="R18" s="19">
        <v>0.25</v>
      </c>
      <c r="S18" s="3">
        <v>0</v>
      </c>
      <c r="T18" s="12"/>
      <c r="U18" s="18">
        <v>43359</v>
      </c>
      <c r="V18" s="18">
        <v>43360</v>
      </c>
      <c r="W18" s="19">
        <v>0.25</v>
      </c>
      <c r="X18" s="3">
        <v>46</v>
      </c>
    </row>
    <row r="19" spans="1:24" x14ac:dyDescent="0.25">
      <c r="A19" s="18">
        <v>43237</v>
      </c>
      <c r="B19" s="18">
        <v>43238</v>
      </c>
      <c r="C19" s="19">
        <v>0.25</v>
      </c>
      <c r="D19" s="3">
        <v>10</v>
      </c>
      <c r="E19" s="12"/>
      <c r="F19" s="18">
        <v>43268</v>
      </c>
      <c r="G19" s="18">
        <v>43269</v>
      </c>
      <c r="H19" s="19">
        <v>0.25</v>
      </c>
      <c r="I19" s="3">
        <v>0</v>
      </c>
      <c r="K19" s="22">
        <v>43298</v>
      </c>
      <c r="L19" s="22">
        <v>43299</v>
      </c>
      <c r="M19" s="19">
        <v>0.25</v>
      </c>
      <c r="N19" s="3">
        <v>28</v>
      </c>
      <c r="O19" s="12"/>
      <c r="P19" s="18">
        <v>43329</v>
      </c>
      <c r="Q19" s="18">
        <v>43330</v>
      </c>
      <c r="R19" s="19">
        <v>0.25</v>
      </c>
      <c r="S19" s="3">
        <v>0</v>
      </c>
      <c r="T19" s="12"/>
      <c r="U19" s="18">
        <v>43360</v>
      </c>
      <c r="V19" s="18">
        <v>43361</v>
      </c>
      <c r="W19" s="19">
        <v>0.25</v>
      </c>
      <c r="X19" s="3">
        <v>0</v>
      </c>
    </row>
    <row r="20" spans="1:24" x14ac:dyDescent="0.25">
      <c r="A20" s="18">
        <v>43238</v>
      </c>
      <c r="B20" s="18">
        <v>43239</v>
      </c>
      <c r="C20" s="19">
        <v>0.25</v>
      </c>
      <c r="D20" s="3">
        <v>0</v>
      </c>
      <c r="E20" s="12"/>
      <c r="F20" s="18">
        <v>43269</v>
      </c>
      <c r="G20" s="18">
        <v>43270</v>
      </c>
      <c r="H20" s="19">
        <v>0.25</v>
      </c>
      <c r="I20" s="3">
        <v>0</v>
      </c>
      <c r="K20" s="22">
        <v>43299</v>
      </c>
      <c r="L20" s="22">
        <v>43300</v>
      </c>
      <c r="M20" s="19">
        <v>0.25</v>
      </c>
      <c r="N20" s="3">
        <v>0</v>
      </c>
      <c r="O20" s="12"/>
      <c r="P20" s="18">
        <v>43330</v>
      </c>
      <c r="Q20" s="18">
        <v>43331</v>
      </c>
      <c r="R20" s="19">
        <v>0.25</v>
      </c>
      <c r="S20" s="3">
        <v>28</v>
      </c>
      <c r="T20" s="12"/>
      <c r="U20" s="18">
        <v>43361</v>
      </c>
      <c r="V20" s="18">
        <v>43362</v>
      </c>
      <c r="W20" s="19">
        <v>0.25</v>
      </c>
      <c r="X20" s="3">
        <v>0</v>
      </c>
    </row>
    <row r="21" spans="1:24" x14ac:dyDescent="0.25">
      <c r="A21" s="18">
        <v>43239</v>
      </c>
      <c r="B21" s="18">
        <v>43240</v>
      </c>
      <c r="C21" s="19">
        <v>0.25</v>
      </c>
      <c r="D21" s="3">
        <v>0</v>
      </c>
      <c r="E21" s="12"/>
      <c r="F21" s="18">
        <v>43270</v>
      </c>
      <c r="G21" s="18">
        <v>43271</v>
      </c>
      <c r="H21" s="19">
        <v>0.25</v>
      </c>
      <c r="I21" s="3">
        <v>4</v>
      </c>
      <c r="K21" s="22">
        <v>43300</v>
      </c>
      <c r="L21" s="22">
        <v>43301</v>
      </c>
      <c r="M21" s="19">
        <v>0.25</v>
      </c>
      <c r="N21" s="3">
        <v>0</v>
      </c>
      <c r="O21" s="12"/>
      <c r="P21" s="18">
        <v>43331</v>
      </c>
      <c r="Q21" s="18">
        <v>43332</v>
      </c>
      <c r="R21" s="19">
        <v>0.25</v>
      </c>
      <c r="S21" s="3">
        <v>19</v>
      </c>
      <c r="T21" s="12"/>
      <c r="U21" s="18">
        <v>43362</v>
      </c>
      <c r="V21" s="18">
        <v>43363</v>
      </c>
      <c r="W21" s="19">
        <v>0.25</v>
      </c>
      <c r="X21" s="3">
        <v>0</v>
      </c>
    </row>
    <row r="22" spans="1:24" x14ac:dyDescent="0.25">
      <c r="A22" s="18">
        <v>43240</v>
      </c>
      <c r="B22" s="18">
        <v>43241</v>
      </c>
      <c r="C22" s="19">
        <v>0.25</v>
      </c>
      <c r="D22" s="3">
        <v>0</v>
      </c>
      <c r="E22" s="12"/>
      <c r="F22" s="18">
        <v>43271</v>
      </c>
      <c r="G22" s="18">
        <v>43272</v>
      </c>
      <c r="H22" s="19">
        <v>0.25</v>
      </c>
      <c r="I22" s="3">
        <v>0</v>
      </c>
      <c r="K22" s="22">
        <v>43301</v>
      </c>
      <c r="L22" s="22">
        <v>43302</v>
      </c>
      <c r="M22" s="19">
        <v>0.25</v>
      </c>
      <c r="N22" s="3">
        <v>13</v>
      </c>
      <c r="O22" s="12"/>
      <c r="P22" s="18">
        <v>43332</v>
      </c>
      <c r="Q22" s="18">
        <v>43333</v>
      </c>
      <c r="R22" s="19">
        <v>0.25</v>
      </c>
      <c r="S22" s="3">
        <v>0</v>
      </c>
      <c r="T22" s="12"/>
      <c r="U22" s="18">
        <v>43363</v>
      </c>
      <c r="V22" s="18">
        <v>43364</v>
      </c>
      <c r="W22" s="19">
        <v>0.25</v>
      </c>
      <c r="X22" s="3">
        <v>30</v>
      </c>
    </row>
    <row r="23" spans="1:24" x14ac:dyDescent="0.25">
      <c r="A23" s="18">
        <v>43241</v>
      </c>
      <c r="B23" s="18">
        <v>43242</v>
      </c>
      <c r="C23" s="19">
        <v>0.25</v>
      </c>
      <c r="D23" s="3">
        <v>23</v>
      </c>
      <c r="E23" s="12"/>
      <c r="F23" s="18">
        <v>43272</v>
      </c>
      <c r="G23" s="18">
        <v>43273</v>
      </c>
      <c r="H23" s="19">
        <v>0.25</v>
      </c>
      <c r="I23" s="3">
        <v>0</v>
      </c>
      <c r="K23" s="22">
        <v>43302</v>
      </c>
      <c r="L23" s="22">
        <v>43303</v>
      </c>
      <c r="M23" s="19">
        <v>0.25</v>
      </c>
      <c r="N23" s="3">
        <v>29</v>
      </c>
      <c r="O23" s="12"/>
      <c r="P23" s="18">
        <v>43333</v>
      </c>
      <c r="Q23" s="18">
        <v>43334</v>
      </c>
      <c r="R23" s="19">
        <v>0.25</v>
      </c>
      <c r="S23" s="3">
        <v>0</v>
      </c>
      <c r="T23" s="12"/>
      <c r="U23" s="18">
        <v>43364</v>
      </c>
      <c r="V23" s="18">
        <v>43365</v>
      </c>
      <c r="W23" s="19">
        <v>0.25</v>
      </c>
      <c r="X23" s="3">
        <v>0</v>
      </c>
    </row>
    <row r="24" spans="1:24" x14ac:dyDescent="0.25">
      <c r="A24" s="18">
        <v>43242</v>
      </c>
      <c r="B24" s="18">
        <v>43243</v>
      </c>
      <c r="C24" s="19">
        <v>0.25</v>
      </c>
      <c r="D24" s="3">
        <v>0</v>
      </c>
      <c r="E24" s="12"/>
      <c r="F24" s="18">
        <v>43273</v>
      </c>
      <c r="G24" s="18">
        <v>43274</v>
      </c>
      <c r="H24" s="19">
        <v>0.25</v>
      </c>
      <c r="I24" s="3">
        <v>9</v>
      </c>
      <c r="K24" s="22">
        <v>43303</v>
      </c>
      <c r="L24" s="22">
        <v>43304</v>
      </c>
      <c r="M24" s="19">
        <v>0.25</v>
      </c>
      <c r="N24" s="3">
        <v>0</v>
      </c>
      <c r="O24" s="12"/>
      <c r="P24" s="18">
        <v>43334</v>
      </c>
      <c r="Q24" s="18">
        <v>43335</v>
      </c>
      <c r="R24" s="19">
        <v>0.25</v>
      </c>
      <c r="S24" s="3">
        <v>131</v>
      </c>
      <c r="T24" s="12"/>
      <c r="U24" s="18">
        <v>43365</v>
      </c>
      <c r="V24" s="18">
        <v>43366</v>
      </c>
      <c r="W24" s="19">
        <v>0.25</v>
      </c>
      <c r="X24" s="3">
        <v>0</v>
      </c>
    </row>
    <row r="25" spans="1:24" x14ac:dyDescent="0.25">
      <c r="A25" s="18">
        <v>43243</v>
      </c>
      <c r="B25" s="18">
        <v>43244</v>
      </c>
      <c r="C25" s="19">
        <v>0.25</v>
      </c>
      <c r="D25" s="3">
        <v>0</v>
      </c>
      <c r="E25" s="12"/>
      <c r="F25" s="18">
        <v>43274</v>
      </c>
      <c r="G25" s="18">
        <v>43275</v>
      </c>
      <c r="H25" s="19">
        <v>0.25</v>
      </c>
      <c r="I25" s="3">
        <v>0</v>
      </c>
      <c r="K25" s="22">
        <v>43304</v>
      </c>
      <c r="L25" s="22">
        <v>43305</v>
      </c>
      <c r="M25" s="19">
        <v>0.25</v>
      </c>
      <c r="N25" s="3">
        <v>37</v>
      </c>
      <c r="O25" s="12"/>
      <c r="P25" s="18">
        <v>43335</v>
      </c>
      <c r="Q25" s="18">
        <v>43336</v>
      </c>
      <c r="R25" s="19">
        <v>0.25</v>
      </c>
      <c r="S25" s="3">
        <v>0</v>
      </c>
      <c r="T25" s="12"/>
      <c r="U25" s="18">
        <v>43366</v>
      </c>
      <c r="V25" s="18">
        <v>43367</v>
      </c>
      <c r="W25" s="19">
        <v>0.25</v>
      </c>
      <c r="X25" s="3">
        <v>34</v>
      </c>
    </row>
    <row r="26" spans="1:24" x14ac:dyDescent="0.25">
      <c r="A26" s="18">
        <v>43244</v>
      </c>
      <c r="B26" s="18">
        <v>43245</v>
      </c>
      <c r="C26" s="19">
        <v>0.25</v>
      </c>
      <c r="D26" s="3">
        <v>0</v>
      </c>
      <c r="E26" s="12"/>
      <c r="F26" s="18">
        <v>43275</v>
      </c>
      <c r="G26" s="18">
        <v>43276</v>
      </c>
      <c r="H26" s="19">
        <v>0.25</v>
      </c>
      <c r="I26" s="3">
        <v>42</v>
      </c>
      <c r="K26" s="22">
        <v>43305</v>
      </c>
      <c r="L26" s="22">
        <v>43306</v>
      </c>
      <c r="M26" s="19">
        <v>0.25</v>
      </c>
      <c r="N26" s="3">
        <v>0</v>
      </c>
      <c r="O26" s="12"/>
      <c r="P26" s="18">
        <v>43336</v>
      </c>
      <c r="Q26" s="18">
        <v>43337</v>
      </c>
      <c r="R26" s="19">
        <v>0.25</v>
      </c>
      <c r="S26" s="3">
        <v>19</v>
      </c>
      <c r="T26" s="12"/>
      <c r="U26" s="18">
        <v>43367</v>
      </c>
      <c r="V26" s="18">
        <v>43368</v>
      </c>
      <c r="W26" s="19">
        <v>0.25</v>
      </c>
      <c r="X26" s="3">
        <v>5</v>
      </c>
    </row>
    <row r="27" spans="1:24" x14ac:dyDescent="0.25">
      <c r="A27" s="18">
        <v>43245</v>
      </c>
      <c r="B27" s="18">
        <v>43246</v>
      </c>
      <c r="C27" s="19">
        <v>0.25</v>
      </c>
      <c r="D27" s="3">
        <v>0</v>
      </c>
      <c r="E27" s="12"/>
      <c r="F27" s="18">
        <v>43276</v>
      </c>
      <c r="G27" s="18">
        <v>43277</v>
      </c>
      <c r="H27" s="19">
        <v>0.25</v>
      </c>
      <c r="I27" s="3">
        <v>0</v>
      </c>
      <c r="K27" s="22">
        <v>43306</v>
      </c>
      <c r="L27" s="22">
        <v>43307</v>
      </c>
      <c r="M27" s="19">
        <v>0.25</v>
      </c>
      <c r="N27" s="3">
        <v>0</v>
      </c>
      <c r="O27" s="12"/>
      <c r="P27" s="18">
        <v>43337</v>
      </c>
      <c r="Q27" s="18">
        <v>43338</v>
      </c>
      <c r="R27" s="19">
        <v>0.25</v>
      </c>
      <c r="S27" s="3">
        <v>31</v>
      </c>
      <c r="T27" s="12"/>
      <c r="U27" s="18">
        <v>43368</v>
      </c>
      <c r="V27" s="18">
        <v>43369</v>
      </c>
      <c r="W27" s="19">
        <v>0.25</v>
      </c>
      <c r="X27" s="3">
        <v>11</v>
      </c>
    </row>
    <row r="28" spans="1:24" x14ac:dyDescent="0.25">
      <c r="A28" s="18">
        <v>43246</v>
      </c>
      <c r="B28" s="18">
        <v>43247</v>
      </c>
      <c r="C28" s="19">
        <v>0.25</v>
      </c>
      <c r="D28" s="3">
        <v>29</v>
      </c>
      <c r="E28" s="12"/>
      <c r="F28" s="18">
        <v>43277</v>
      </c>
      <c r="G28" s="18">
        <v>43278</v>
      </c>
      <c r="H28" s="19">
        <v>0.25</v>
      </c>
      <c r="I28" s="3">
        <v>0</v>
      </c>
      <c r="K28" s="22">
        <v>43307</v>
      </c>
      <c r="L28" s="22">
        <v>43308</v>
      </c>
      <c r="M28" s="19">
        <v>0.25</v>
      </c>
      <c r="N28" s="3">
        <v>10</v>
      </c>
      <c r="O28" s="12"/>
      <c r="P28" s="18">
        <v>43338</v>
      </c>
      <c r="Q28" s="18">
        <v>43339</v>
      </c>
      <c r="R28" s="19">
        <v>0.25</v>
      </c>
      <c r="S28" s="3">
        <v>9</v>
      </c>
      <c r="T28" s="12"/>
      <c r="U28" s="18">
        <v>43369</v>
      </c>
      <c r="V28" s="18">
        <v>43370</v>
      </c>
      <c r="W28" s="19">
        <v>0.25</v>
      </c>
      <c r="X28" s="3">
        <v>0</v>
      </c>
    </row>
    <row r="29" spans="1:24" x14ac:dyDescent="0.25">
      <c r="A29" s="18">
        <v>43247</v>
      </c>
      <c r="B29" s="18">
        <v>43248</v>
      </c>
      <c r="C29" s="19">
        <v>0.25</v>
      </c>
      <c r="D29" s="3">
        <v>0</v>
      </c>
      <c r="E29" s="12"/>
      <c r="F29" s="18">
        <v>43278</v>
      </c>
      <c r="G29" s="18">
        <v>43279</v>
      </c>
      <c r="H29" s="19">
        <v>0.25</v>
      </c>
      <c r="I29" s="3">
        <v>8</v>
      </c>
      <c r="K29" s="22">
        <v>43308</v>
      </c>
      <c r="L29" s="22">
        <v>43309</v>
      </c>
      <c r="M29" s="19">
        <v>0.25</v>
      </c>
      <c r="N29" s="3">
        <v>3</v>
      </c>
      <c r="O29" s="12"/>
      <c r="P29" s="18">
        <v>43339</v>
      </c>
      <c r="Q29" s="18">
        <v>43340</v>
      </c>
      <c r="R29" s="19">
        <v>0.25</v>
      </c>
      <c r="S29" s="3">
        <v>2</v>
      </c>
      <c r="T29" s="12"/>
      <c r="U29" s="18">
        <v>43370</v>
      </c>
      <c r="V29" s="18">
        <v>43371</v>
      </c>
      <c r="W29" s="19">
        <v>0.25</v>
      </c>
      <c r="X29" s="3">
        <v>0</v>
      </c>
    </row>
    <row r="30" spans="1:24" x14ac:dyDescent="0.25">
      <c r="A30" s="18">
        <v>43248</v>
      </c>
      <c r="B30" s="18">
        <v>43249</v>
      </c>
      <c r="C30" s="19">
        <v>0.25</v>
      </c>
      <c r="D30" s="3">
        <v>0</v>
      </c>
      <c r="E30" s="12"/>
      <c r="F30" s="18">
        <v>43279</v>
      </c>
      <c r="G30" s="18">
        <v>43280</v>
      </c>
      <c r="H30" s="19">
        <v>0.25</v>
      </c>
      <c r="I30" s="3">
        <v>0</v>
      </c>
      <c r="K30" s="22">
        <v>43309</v>
      </c>
      <c r="L30" s="22">
        <v>43310</v>
      </c>
      <c r="M30" s="19">
        <v>0.25</v>
      </c>
      <c r="N30" s="3">
        <v>12</v>
      </c>
      <c r="O30" s="12"/>
      <c r="P30" s="18">
        <v>43340</v>
      </c>
      <c r="Q30" s="18">
        <v>43341</v>
      </c>
      <c r="R30" s="19">
        <v>0.25</v>
      </c>
      <c r="S30" s="3">
        <v>37</v>
      </c>
      <c r="T30" s="12"/>
      <c r="U30" s="18">
        <v>43371</v>
      </c>
      <c r="V30" s="18">
        <v>43372</v>
      </c>
      <c r="W30" s="19">
        <v>0.25</v>
      </c>
      <c r="X30" s="3">
        <v>0</v>
      </c>
    </row>
    <row r="31" spans="1:24" x14ac:dyDescent="0.25">
      <c r="A31" s="18">
        <v>43249</v>
      </c>
      <c r="B31" s="18">
        <v>43250</v>
      </c>
      <c r="C31" s="19">
        <v>0.25</v>
      </c>
      <c r="D31" s="3">
        <v>0</v>
      </c>
      <c r="E31" s="12"/>
      <c r="F31" s="18">
        <v>43280</v>
      </c>
      <c r="G31" s="18">
        <v>43281</v>
      </c>
      <c r="H31" s="19">
        <v>0.25</v>
      </c>
      <c r="I31" s="3">
        <v>0</v>
      </c>
      <c r="K31" s="22">
        <v>43310</v>
      </c>
      <c r="L31" s="22">
        <v>43311</v>
      </c>
      <c r="M31" s="19">
        <v>0.25</v>
      </c>
      <c r="N31" s="3">
        <v>0</v>
      </c>
      <c r="O31" s="12"/>
      <c r="P31" s="18">
        <v>43341</v>
      </c>
      <c r="Q31" s="18">
        <v>43342</v>
      </c>
      <c r="R31" s="19">
        <v>0.25</v>
      </c>
      <c r="S31" s="3">
        <v>22</v>
      </c>
      <c r="T31" s="12"/>
      <c r="U31" s="18">
        <v>43372</v>
      </c>
      <c r="V31" s="18">
        <v>43373</v>
      </c>
      <c r="W31" s="19">
        <v>0.25</v>
      </c>
      <c r="X31" s="3">
        <v>0</v>
      </c>
    </row>
    <row r="32" spans="1:24" x14ac:dyDescent="0.25">
      <c r="A32" s="18">
        <v>43250</v>
      </c>
      <c r="B32" s="18">
        <v>43251</v>
      </c>
      <c r="C32" s="19">
        <v>0.25</v>
      </c>
      <c r="D32" s="3">
        <v>0</v>
      </c>
      <c r="E32" s="12"/>
      <c r="F32" s="18">
        <v>43281</v>
      </c>
      <c r="G32" s="18">
        <v>43282</v>
      </c>
      <c r="H32" s="19">
        <v>0.25</v>
      </c>
      <c r="I32" s="3">
        <v>0</v>
      </c>
      <c r="K32" s="22">
        <v>43311</v>
      </c>
      <c r="L32" s="22">
        <v>43312</v>
      </c>
      <c r="M32" s="23">
        <v>0.25</v>
      </c>
      <c r="N32" s="24">
        <v>10</v>
      </c>
      <c r="O32" s="12"/>
      <c r="P32" s="18">
        <v>43342</v>
      </c>
      <c r="Q32" s="18">
        <v>43343</v>
      </c>
      <c r="R32" s="19">
        <v>0.25</v>
      </c>
      <c r="S32" s="3">
        <v>0</v>
      </c>
      <c r="T32" s="12"/>
      <c r="U32" s="18">
        <v>43373</v>
      </c>
      <c r="V32" s="18">
        <v>43374</v>
      </c>
      <c r="W32" s="19">
        <v>0.25</v>
      </c>
      <c r="X32" s="3">
        <v>16</v>
      </c>
    </row>
    <row r="33" spans="1:24" x14ac:dyDescent="0.25">
      <c r="A33" s="18">
        <v>43251</v>
      </c>
      <c r="B33" s="18">
        <v>43252</v>
      </c>
      <c r="C33" s="19">
        <v>0.25</v>
      </c>
      <c r="D33" s="3">
        <v>0</v>
      </c>
      <c r="E33" s="12"/>
      <c r="F33" s="115" t="s">
        <v>57</v>
      </c>
      <c r="G33" s="119"/>
      <c r="H33" s="120"/>
      <c r="I33" s="21">
        <f>SUM(I3:I32)</f>
        <v>148</v>
      </c>
      <c r="K33" s="22">
        <v>43312</v>
      </c>
      <c r="L33" s="22">
        <v>43313</v>
      </c>
      <c r="M33" s="19">
        <v>0.25</v>
      </c>
      <c r="N33" s="3">
        <v>0</v>
      </c>
      <c r="O33" s="12"/>
      <c r="P33" s="114" t="s">
        <v>36</v>
      </c>
      <c r="Q33" s="114"/>
      <c r="R33" s="114"/>
      <c r="S33" s="21">
        <f>SUM(S3:S32)</f>
        <v>490</v>
      </c>
      <c r="T33" s="12"/>
      <c r="U33" s="115" t="s">
        <v>37</v>
      </c>
      <c r="V33" s="116"/>
      <c r="W33" s="117"/>
      <c r="X33" s="21">
        <f>SUM(X3:X32)</f>
        <v>209</v>
      </c>
    </row>
    <row r="34" spans="1:24" x14ac:dyDescent="0.25">
      <c r="A34" s="114" t="s">
        <v>31</v>
      </c>
      <c r="B34" s="121"/>
      <c r="C34" s="121"/>
      <c r="D34" s="21">
        <f>SUM(D3:D33)</f>
        <v>108</v>
      </c>
      <c r="E34" s="12"/>
      <c r="F34" s="12"/>
      <c r="G34" s="12"/>
      <c r="H34" s="12"/>
      <c r="I34" s="12"/>
      <c r="K34" s="118" t="s">
        <v>38</v>
      </c>
      <c r="L34" s="118"/>
      <c r="M34" s="118"/>
      <c r="N34" s="21">
        <f>SUM(N3:N33)</f>
        <v>191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6" spans="1:24" x14ac:dyDescent="0.25">
      <c r="E36">
        <f>SUM(D34,I33,N34,S33,X33)</f>
        <v>1146</v>
      </c>
    </row>
  </sheetData>
  <mergeCells count="10">
    <mergeCell ref="U1:X1"/>
    <mergeCell ref="P33:R33"/>
    <mergeCell ref="U33:W33"/>
    <mergeCell ref="K34:M34"/>
    <mergeCell ref="A1:D1"/>
    <mergeCell ref="F1:I1"/>
    <mergeCell ref="F33:H33"/>
    <mergeCell ref="A34:C34"/>
    <mergeCell ref="K1:N1"/>
    <mergeCell ref="P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"/>
  <sheetViews>
    <sheetView topLeftCell="H19" workbookViewId="0">
      <selection activeCell="K37" sqref="K37"/>
    </sheetView>
  </sheetViews>
  <sheetFormatPr baseColWidth="10" defaultColWidth="11.42578125" defaultRowHeight="15" x14ac:dyDescent="0.25"/>
  <cols>
    <col min="1" max="1" width="14.5703125" style="12" customWidth="1"/>
    <col min="2" max="2" width="16.5703125" style="12" customWidth="1"/>
    <col min="3" max="3" width="13.85546875" style="12" customWidth="1"/>
    <col min="4" max="4" width="15.28515625" style="12" customWidth="1"/>
    <col min="5" max="5" width="11.42578125" style="12"/>
    <col min="6" max="7" width="17" style="12" customWidth="1"/>
    <col min="8" max="8" width="13.5703125" style="12" customWidth="1"/>
    <col min="9" max="9" width="17.42578125" style="12" customWidth="1"/>
    <col min="10" max="10" width="11.42578125" style="12"/>
    <col min="11" max="12" width="15.140625" style="12" customWidth="1"/>
    <col min="13" max="13" width="13.28515625" style="12" customWidth="1"/>
    <col min="14" max="14" width="14.42578125" style="12" customWidth="1"/>
    <col min="15" max="15" width="11.42578125" style="12"/>
    <col min="16" max="16" width="18.5703125" style="12" customWidth="1"/>
    <col min="17" max="17" width="16.28515625" style="12" customWidth="1"/>
    <col min="18" max="18" width="16.7109375" style="12" customWidth="1"/>
    <col min="19" max="19" width="14.140625" style="12" customWidth="1"/>
    <col min="20" max="20" width="11.42578125" style="12"/>
    <col min="21" max="21" width="15.28515625" style="12" customWidth="1"/>
    <col min="22" max="22" width="16.5703125" style="12" customWidth="1"/>
    <col min="23" max="23" width="11.42578125" style="12"/>
    <col min="24" max="24" width="15.28515625" style="12" customWidth="1"/>
    <col min="25" max="25" width="9.7109375" style="12" customWidth="1"/>
    <col min="26" max="26" width="15" style="12" customWidth="1"/>
    <col min="27" max="27" width="18.140625" style="12" customWidth="1"/>
    <col min="28" max="28" width="14.85546875" style="12" customWidth="1"/>
    <col min="29" max="29" width="17.28515625" style="12" customWidth="1"/>
    <col min="30" max="30" width="9.5703125" style="12" customWidth="1"/>
    <col min="31" max="31" width="15" style="12" customWidth="1"/>
    <col min="32" max="32" width="16.28515625" style="12" customWidth="1"/>
    <col min="33" max="33" width="13" style="12" customWidth="1"/>
    <col min="34" max="34" width="13.28515625" style="12" customWidth="1"/>
    <col min="35" max="35" width="11.42578125" style="12"/>
    <col min="36" max="36" width="15.140625" style="12" customWidth="1"/>
    <col min="37" max="37" width="15.28515625" style="12" customWidth="1"/>
    <col min="38" max="38" width="16.140625" style="12" customWidth="1"/>
    <col min="39" max="39" width="17" style="12" customWidth="1"/>
    <col min="40" max="40" width="11.42578125" style="12"/>
    <col min="41" max="41" width="15.140625" style="12" customWidth="1"/>
    <col min="42" max="42" width="18.5703125" style="12" customWidth="1"/>
    <col min="43" max="43" width="13.7109375" style="12" customWidth="1"/>
    <col min="44" max="44" width="13.85546875" style="12" customWidth="1"/>
    <col min="45" max="45" width="11.42578125" style="12"/>
    <col min="46" max="46" width="15.140625" style="12" customWidth="1"/>
    <col min="47" max="47" width="15.85546875" style="12" customWidth="1"/>
    <col min="48" max="48" width="13.28515625" style="12" customWidth="1"/>
    <col min="49" max="49" width="15.42578125" style="12" customWidth="1"/>
    <col min="50" max="50" width="11.42578125" style="12"/>
    <col min="51" max="51" width="11.42578125" style="12" hidden="1" customWidth="1"/>
    <col min="52" max="52" width="15.5703125" style="12" customWidth="1"/>
    <col min="53" max="53" width="15" style="12" customWidth="1"/>
    <col min="54" max="54" width="13.42578125" style="12" customWidth="1"/>
    <col min="55" max="55" width="16.7109375" style="12" customWidth="1"/>
    <col min="56" max="16384" width="11.42578125" style="12"/>
  </cols>
  <sheetData>
    <row r="1" spans="1:55" x14ac:dyDescent="0.25">
      <c r="A1" s="112" t="s">
        <v>45</v>
      </c>
      <c r="B1" s="112"/>
      <c r="C1" s="112"/>
      <c r="D1" s="112"/>
      <c r="F1" s="112" t="s">
        <v>42</v>
      </c>
      <c r="G1" s="112"/>
      <c r="H1" s="112"/>
      <c r="I1" s="112"/>
      <c r="K1" s="112" t="s">
        <v>43</v>
      </c>
      <c r="L1" s="112"/>
      <c r="M1" s="112"/>
      <c r="N1" s="112"/>
      <c r="P1" s="112" t="s">
        <v>26</v>
      </c>
      <c r="Q1" s="112"/>
      <c r="R1" s="112"/>
      <c r="S1" s="112"/>
      <c r="U1" s="112" t="s">
        <v>63</v>
      </c>
      <c r="V1" s="112"/>
      <c r="W1" s="112"/>
      <c r="X1" s="112"/>
      <c r="Z1" s="112" t="s">
        <v>68</v>
      </c>
      <c r="AA1" s="112"/>
      <c r="AB1" s="112"/>
      <c r="AC1" s="112"/>
      <c r="AE1" s="112" t="s">
        <v>73</v>
      </c>
      <c r="AF1" s="112"/>
      <c r="AG1" s="112"/>
      <c r="AH1" s="112"/>
      <c r="AJ1" s="112" t="s">
        <v>76</v>
      </c>
      <c r="AK1" s="112"/>
      <c r="AL1" s="112"/>
      <c r="AM1" s="112"/>
      <c r="AO1" s="112" t="s">
        <v>79</v>
      </c>
      <c r="AP1" s="112"/>
      <c r="AQ1" s="112"/>
      <c r="AR1" s="112"/>
      <c r="AT1" s="112" t="s">
        <v>84</v>
      </c>
      <c r="AU1" s="112"/>
      <c r="AV1" s="112"/>
      <c r="AW1" s="112"/>
      <c r="AZ1" s="112" t="s">
        <v>86</v>
      </c>
      <c r="BA1" s="112"/>
      <c r="BB1" s="112"/>
      <c r="BC1" s="112"/>
    </row>
    <row r="2" spans="1:55" x14ac:dyDescent="0.25">
      <c r="A2" s="37" t="s">
        <v>46</v>
      </c>
      <c r="B2" s="37" t="s">
        <v>44</v>
      </c>
      <c r="C2" s="26" t="s">
        <v>29</v>
      </c>
      <c r="D2" s="26" t="s">
        <v>30</v>
      </c>
      <c r="F2" s="33" t="s">
        <v>47</v>
      </c>
      <c r="G2" s="37" t="s">
        <v>28</v>
      </c>
      <c r="H2" s="33" t="s">
        <v>29</v>
      </c>
      <c r="I2" s="33" t="s">
        <v>30</v>
      </c>
      <c r="K2" s="33" t="s">
        <v>52</v>
      </c>
      <c r="L2" s="37" t="s">
        <v>44</v>
      </c>
      <c r="M2" s="33" t="s">
        <v>29</v>
      </c>
      <c r="N2" s="33" t="s">
        <v>30</v>
      </c>
      <c r="P2" s="53" t="s">
        <v>52</v>
      </c>
      <c r="Q2" s="53" t="s">
        <v>44</v>
      </c>
      <c r="R2" s="53" t="s">
        <v>29</v>
      </c>
      <c r="S2" s="53" t="s">
        <v>30</v>
      </c>
      <c r="U2" s="68" t="s">
        <v>52</v>
      </c>
      <c r="V2" s="68" t="s">
        <v>44</v>
      </c>
      <c r="W2" s="68" t="s">
        <v>29</v>
      </c>
      <c r="X2" s="68" t="s">
        <v>30</v>
      </c>
      <c r="Z2" s="74" t="s">
        <v>52</v>
      </c>
      <c r="AA2" s="74" t="s">
        <v>44</v>
      </c>
      <c r="AB2" s="74" t="s">
        <v>29</v>
      </c>
      <c r="AC2" s="74" t="s">
        <v>30</v>
      </c>
      <c r="AE2" s="84" t="s">
        <v>52</v>
      </c>
      <c r="AF2" s="84" t="s">
        <v>44</v>
      </c>
      <c r="AG2" s="84" t="s">
        <v>29</v>
      </c>
      <c r="AH2" s="84" t="s">
        <v>30</v>
      </c>
      <c r="AJ2" s="93" t="s">
        <v>52</v>
      </c>
      <c r="AK2" s="93" t="s">
        <v>44</v>
      </c>
      <c r="AL2" s="93" t="s">
        <v>78</v>
      </c>
      <c r="AM2" s="93" t="s">
        <v>30</v>
      </c>
      <c r="AO2" s="98" t="s">
        <v>52</v>
      </c>
      <c r="AP2" s="98" t="s">
        <v>44</v>
      </c>
      <c r="AQ2" s="98" t="s">
        <v>78</v>
      </c>
      <c r="AR2" s="98" t="s">
        <v>30</v>
      </c>
      <c r="AT2" s="102" t="s">
        <v>52</v>
      </c>
      <c r="AU2" s="102" t="s">
        <v>44</v>
      </c>
      <c r="AV2" s="102" t="s">
        <v>78</v>
      </c>
      <c r="AW2" s="102" t="s">
        <v>30</v>
      </c>
      <c r="AZ2" s="104" t="s">
        <v>52</v>
      </c>
      <c r="BA2" s="104" t="s">
        <v>44</v>
      </c>
      <c r="BB2" s="104" t="s">
        <v>78</v>
      </c>
      <c r="BC2" s="104" t="s">
        <v>30</v>
      </c>
    </row>
    <row r="3" spans="1:55" x14ac:dyDescent="0.25">
      <c r="A3" s="38">
        <v>43505</v>
      </c>
      <c r="B3" s="38">
        <v>43506</v>
      </c>
      <c r="C3" s="36">
        <v>0.41319444444444442</v>
      </c>
      <c r="D3" s="3">
        <v>0</v>
      </c>
      <c r="F3" s="38">
        <v>43525</v>
      </c>
      <c r="G3" s="38">
        <v>43526</v>
      </c>
      <c r="H3" s="19">
        <v>0.45833333333333331</v>
      </c>
      <c r="I3" s="3">
        <v>0</v>
      </c>
      <c r="K3" s="38">
        <v>43556</v>
      </c>
      <c r="L3" s="38">
        <v>43557</v>
      </c>
      <c r="M3" s="46">
        <v>0.45833333333333331</v>
      </c>
      <c r="N3" s="3">
        <v>0</v>
      </c>
      <c r="P3" s="38">
        <v>43586</v>
      </c>
      <c r="Q3" s="38">
        <v>43587</v>
      </c>
      <c r="R3" s="54">
        <v>0.45833333333333331</v>
      </c>
      <c r="S3" s="41">
        <v>0</v>
      </c>
      <c r="U3" s="38">
        <v>43617</v>
      </c>
      <c r="V3" s="38">
        <v>43618</v>
      </c>
      <c r="W3" s="64">
        <v>0.45833333333333331</v>
      </c>
      <c r="X3" s="41">
        <v>0</v>
      </c>
      <c r="Z3" s="38">
        <v>43647</v>
      </c>
      <c r="AA3" s="38">
        <v>43648</v>
      </c>
      <c r="AB3" s="64">
        <v>0.45833333333333331</v>
      </c>
      <c r="AC3" s="41">
        <v>2.5</v>
      </c>
      <c r="AE3" s="38">
        <v>43678</v>
      </c>
      <c r="AF3" s="38">
        <v>43679</v>
      </c>
      <c r="AG3" s="64">
        <v>0.34027777777777773</v>
      </c>
      <c r="AH3" s="86">
        <v>11.5</v>
      </c>
      <c r="AJ3" s="38">
        <v>43709</v>
      </c>
      <c r="AK3" s="38">
        <v>43710</v>
      </c>
      <c r="AL3" s="64">
        <v>0.3298611111111111</v>
      </c>
      <c r="AM3" s="95">
        <v>27</v>
      </c>
      <c r="AO3" s="38">
        <v>43739</v>
      </c>
      <c r="AP3" s="38">
        <v>43740</v>
      </c>
      <c r="AQ3" s="64">
        <v>0.3125</v>
      </c>
      <c r="AR3" s="100">
        <v>0</v>
      </c>
      <c r="AT3" s="38">
        <v>43770</v>
      </c>
      <c r="AU3" s="38">
        <v>43771</v>
      </c>
      <c r="AV3" s="64">
        <v>0.3125</v>
      </c>
      <c r="AW3" s="103">
        <v>0</v>
      </c>
      <c r="AZ3" s="38">
        <v>43800</v>
      </c>
      <c r="BA3" s="38">
        <v>43801</v>
      </c>
      <c r="BB3" s="64">
        <v>0.3125</v>
      </c>
      <c r="BC3" s="106">
        <v>0</v>
      </c>
    </row>
    <row r="4" spans="1:55" x14ac:dyDescent="0.25">
      <c r="A4" s="38">
        <v>43506</v>
      </c>
      <c r="B4" s="38">
        <v>43507</v>
      </c>
      <c r="C4" s="36">
        <v>0.41319444444444442</v>
      </c>
      <c r="D4" s="3">
        <v>0</v>
      </c>
      <c r="F4" s="38">
        <v>43526</v>
      </c>
      <c r="G4" s="38">
        <v>43527</v>
      </c>
      <c r="H4" s="19">
        <v>0.45833333333333331</v>
      </c>
      <c r="I4" s="3">
        <v>0</v>
      </c>
      <c r="K4" s="38">
        <v>43557</v>
      </c>
      <c r="L4" s="38">
        <v>43558</v>
      </c>
      <c r="M4" s="46">
        <v>0.45833333333333331</v>
      </c>
      <c r="N4" s="3">
        <v>0</v>
      </c>
      <c r="P4" s="38">
        <v>43587</v>
      </c>
      <c r="Q4" s="38">
        <v>43588</v>
      </c>
      <c r="R4" s="54">
        <v>0.45833333333333331</v>
      </c>
      <c r="S4" s="41">
        <v>0</v>
      </c>
      <c r="U4" s="38">
        <v>43618</v>
      </c>
      <c r="V4" s="38">
        <v>43619</v>
      </c>
      <c r="W4" s="64">
        <v>0.45833333333333331</v>
      </c>
      <c r="X4" s="41">
        <v>0</v>
      </c>
      <c r="Z4" s="38">
        <v>43648</v>
      </c>
      <c r="AA4" s="38">
        <v>43649</v>
      </c>
      <c r="AB4" s="64">
        <v>0.31944444444444448</v>
      </c>
      <c r="AC4" s="41">
        <v>7</v>
      </c>
      <c r="AE4" s="38">
        <v>43679</v>
      </c>
      <c r="AF4" s="38">
        <v>43680</v>
      </c>
      <c r="AG4" s="64">
        <v>0.45833333333333331</v>
      </c>
      <c r="AH4" s="86">
        <v>0</v>
      </c>
      <c r="AJ4" s="38">
        <v>43710</v>
      </c>
      <c r="AK4" s="38">
        <v>43711</v>
      </c>
      <c r="AL4" s="64">
        <v>0.33333333333333331</v>
      </c>
      <c r="AM4" s="95">
        <v>37.5</v>
      </c>
      <c r="AO4" s="38">
        <v>43740</v>
      </c>
      <c r="AP4" s="38">
        <v>43741</v>
      </c>
      <c r="AQ4" s="64">
        <v>0.3125</v>
      </c>
      <c r="AR4" s="100">
        <v>0</v>
      </c>
      <c r="AT4" s="38">
        <v>43771</v>
      </c>
      <c r="AU4" s="38">
        <v>43772</v>
      </c>
      <c r="AV4" s="64">
        <v>0.3125</v>
      </c>
      <c r="AW4" s="103">
        <v>0</v>
      </c>
      <c r="AZ4" s="38">
        <v>43801</v>
      </c>
      <c r="BA4" s="38">
        <v>43802</v>
      </c>
      <c r="BB4" s="64">
        <v>0.3125</v>
      </c>
      <c r="BC4" s="106">
        <v>0</v>
      </c>
    </row>
    <row r="5" spans="1:55" x14ac:dyDescent="0.25">
      <c r="A5" s="38">
        <v>43507</v>
      </c>
      <c r="B5" s="38">
        <v>43508</v>
      </c>
      <c r="C5" s="36">
        <v>0.41319444444444442</v>
      </c>
      <c r="D5" s="3">
        <v>0</v>
      </c>
      <c r="F5" s="38">
        <v>43527</v>
      </c>
      <c r="G5" s="38">
        <v>43528</v>
      </c>
      <c r="H5" s="19">
        <v>0.45833333333333331</v>
      </c>
      <c r="I5" s="3">
        <v>0</v>
      </c>
      <c r="K5" s="38">
        <v>43558</v>
      </c>
      <c r="L5" s="38">
        <v>43559</v>
      </c>
      <c r="M5" s="46">
        <v>0.45833333333333331</v>
      </c>
      <c r="N5" s="3">
        <v>0</v>
      </c>
      <c r="P5" s="38">
        <v>43588</v>
      </c>
      <c r="Q5" s="38">
        <v>43589</v>
      </c>
      <c r="R5" s="54">
        <v>0.32708333333333334</v>
      </c>
      <c r="S5" s="41">
        <v>10.6</v>
      </c>
      <c r="U5" s="38">
        <v>43619</v>
      </c>
      <c r="V5" s="38">
        <v>43620</v>
      </c>
      <c r="W5" s="64">
        <v>0.45833333333333331</v>
      </c>
      <c r="X5" s="41">
        <v>0</v>
      </c>
      <c r="Z5" s="38">
        <v>43649</v>
      </c>
      <c r="AA5" s="38">
        <v>43650</v>
      </c>
      <c r="AB5" s="64">
        <v>0.45833333333333331</v>
      </c>
      <c r="AC5" s="41">
        <v>0</v>
      </c>
      <c r="AE5" s="38">
        <v>43680</v>
      </c>
      <c r="AF5" s="38">
        <v>43681</v>
      </c>
      <c r="AG5" s="64">
        <v>0.45833333333333331</v>
      </c>
      <c r="AH5" s="86">
        <v>0</v>
      </c>
      <c r="AJ5" s="38">
        <v>43711</v>
      </c>
      <c r="AK5" s="38">
        <v>43712</v>
      </c>
      <c r="AL5" s="64">
        <v>0.35069444444444442</v>
      </c>
      <c r="AM5" s="95">
        <v>0.5</v>
      </c>
      <c r="AO5" s="38">
        <v>43741</v>
      </c>
      <c r="AP5" s="38">
        <v>43742</v>
      </c>
      <c r="AQ5" s="64">
        <v>0.3125</v>
      </c>
      <c r="AR5" s="100">
        <v>1.5</v>
      </c>
      <c r="AT5" s="38">
        <v>43772</v>
      </c>
      <c r="AU5" s="38">
        <v>43773</v>
      </c>
      <c r="AV5" s="64">
        <v>0.3125</v>
      </c>
      <c r="AW5" s="103">
        <v>0</v>
      </c>
      <c r="AZ5" s="38">
        <v>43802</v>
      </c>
      <c r="BA5" s="38">
        <v>43803</v>
      </c>
      <c r="BB5" s="64">
        <v>0.3125</v>
      </c>
      <c r="BC5" s="106">
        <v>0</v>
      </c>
    </row>
    <row r="6" spans="1:55" x14ac:dyDescent="0.25">
      <c r="A6" s="38">
        <v>43508</v>
      </c>
      <c r="B6" s="38">
        <v>43509</v>
      </c>
      <c r="C6" s="36">
        <v>0.375</v>
      </c>
      <c r="D6" s="3">
        <v>0</v>
      </c>
      <c r="F6" s="38">
        <v>43528</v>
      </c>
      <c r="G6" s="38">
        <v>43529</v>
      </c>
      <c r="H6" s="19">
        <v>0.45833333333333331</v>
      </c>
      <c r="I6" s="3">
        <v>0</v>
      </c>
      <c r="K6" s="38">
        <v>43559</v>
      </c>
      <c r="L6" s="38">
        <v>43560</v>
      </c>
      <c r="M6" s="46">
        <v>0.45833333333333331</v>
      </c>
      <c r="N6" s="3">
        <v>0</v>
      </c>
      <c r="P6" s="38">
        <v>43589</v>
      </c>
      <c r="Q6" s="38">
        <v>43590</v>
      </c>
      <c r="R6" s="54">
        <v>0.45833333333333331</v>
      </c>
      <c r="S6" s="41">
        <v>0</v>
      </c>
      <c r="U6" s="38">
        <v>43620</v>
      </c>
      <c r="V6" s="38">
        <v>43621</v>
      </c>
      <c r="W6" s="64">
        <v>0.45833333333333331</v>
      </c>
      <c r="X6" s="41">
        <v>0</v>
      </c>
      <c r="Z6" s="38">
        <v>43650</v>
      </c>
      <c r="AA6" s="38">
        <v>43651</v>
      </c>
      <c r="AB6" s="64">
        <v>0.45833333333333331</v>
      </c>
      <c r="AC6" s="82">
        <v>0</v>
      </c>
      <c r="AE6" s="38">
        <v>43681</v>
      </c>
      <c r="AF6" s="38">
        <v>43682</v>
      </c>
      <c r="AG6" s="64">
        <v>0.45833333333333331</v>
      </c>
      <c r="AH6" s="86">
        <v>0</v>
      </c>
      <c r="AJ6" s="38">
        <v>43712</v>
      </c>
      <c r="AK6" s="38">
        <v>43713</v>
      </c>
      <c r="AL6" s="64">
        <v>0.32847222222222222</v>
      </c>
      <c r="AM6" s="95">
        <v>3</v>
      </c>
      <c r="AO6" s="38">
        <v>43742</v>
      </c>
      <c r="AP6" s="38">
        <v>43743</v>
      </c>
      <c r="AQ6" s="64">
        <v>0.3125</v>
      </c>
      <c r="AR6" s="100">
        <v>0</v>
      </c>
      <c r="AT6" s="38">
        <v>43773</v>
      </c>
      <c r="AU6" s="38">
        <v>43774</v>
      </c>
      <c r="AV6" s="64">
        <v>0.3125</v>
      </c>
      <c r="AW6" s="103">
        <v>0</v>
      </c>
      <c r="AZ6" s="38">
        <v>43803</v>
      </c>
      <c r="BA6" s="38">
        <v>43804</v>
      </c>
      <c r="BB6" s="64">
        <v>0.3125</v>
      </c>
      <c r="BC6" s="106">
        <v>0</v>
      </c>
    </row>
    <row r="7" spans="1:55" x14ac:dyDescent="0.25">
      <c r="A7" s="38">
        <v>43509</v>
      </c>
      <c r="B7" s="38">
        <v>43510</v>
      </c>
      <c r="C7" s="36">
        <v>0.375</v>
      </c>
      <c r="D7" s="3">
        <v>0</v>
      </c>
      <c r="F7" s="38">
        <v>43529</v>
      </c>
      <c r="G7" s="38">
        <v>43530</v>
      </c>
      <c r="H7" s="19">
        <v>0.45833333333333331</v>
      </c>
      <c r="I7" s="3">
        <v>0</v>
      </c>
      <c r="K7" s="38">
        <v>43560</v>
      </c>
      <c r="L7" s="38">
        <v>43561</v>
      </c>
      <c r="M7" s="46">
        <v>0.45833333333333331</v>
      </c>
      <c r="N7" s="3">
        <v>0</v>
      </c>
      <c r="P7" s="38">
        <v>43590</v>
      </c>
      <c r="Q7" s="38">
        <v>43591</v>
      </c>
      <c r="R7" s="54">
        <v>0.45833333333333331</v>
      </c>
      <c r="S7" s="41">
        <v>0</v>
      </c>
      <c r="U7" s="38">
        <v>43621</v>
      </c>
      <c r="V7" s="38">
        <v>43622</v>
      </c>
      <c r="W7" s="64">
        <v>0.36805555555555558</v>
      </c>
      <c r="X7" s="79">
        <v>50</v>
      </c>
      <c r="Z7" s="38">
        <v>43651</v>
      </c>
      <c r="AA7" s="38">
        <v>43652</v>
      </c>
      <c r="AB7" s="64">
        <v>0.33333333333333331</v>
      </c>
      <c r="AC7" s="41">
        <v>2.5</v>
      </c>
      <c r="AE7" s="38">
        <v>43682</v>
      </c>
      <c r="AF7" s="38">
        <v>43683</v>
      </c>
      <c r="AG7" s="64">
        <v>0.2986111111111111</v>
      </c>
      <c r="AH7" s="86">
        <v>42.5</v>
      </c>
      <c r="AJ7" s="38">
        <v>43713</v>
      </c>
      <c r="AK7" s="38">
        <v>43714</v>
      </c>
      <c r="AL7" s="64">
        <v>0.45833333333333331</v>
      </c>
      <c r="AM7" s="95">
        <v>0</v>
      </c>
      <c r="AO7" s="38">
        <v>43743</v>
      </c>
      <c r="AP7" s="38">
        <v>43744</v>
      </c>
      <c r="AQ7" s="64">
        <v>0.3125</v>
      </c>
      <c r="AR7" s="100">
        <v>0</v>
      </c>
      <c r="AT7" s="38">
        <v>43774</v>
      </c>
      <c r="AU7" s="38">
        <v>43775</v>
      </c>
      <c r="AV7" s="64">
        <v>0.3125</v>
      </c>
      <c r="AW7" s="103">
        <v>0</v>
      </c>
      <c r="AZ7" s="38">
        <v>43804</v>
      </c>
      <c r="BA7" s="38">
        <v>43805</v>
      </c>
      <c r="BB7" s="64">
        <v>0.3125</v>
      </c>
      <c r="BC7" s="106">
        <v>0</v>
      </c>
    </row>
    <row r="8" spans="1:55" x14ac:dyDescent="0.25">
      <c r="A8" s="38">
        <v>43510</v>
      </c>
      <c r="B8" s="38">
        <v>43511</v>
      </c>
      <c r="C8" s="36">
        <v>0.375</v>
      </c>
      <c r="D8" s="3">
        <v>0</v>
      </c>
      <c r="F8" s="38">
        <v>43530</v>
      </c>
      <c r="G8" s="38">
        <v>43531</v>
      </c>
      <c r="H8" s="19">
        <v>0.45833333333333331</v>
      </c>
      <c r="I8" s="3">
        <v>0</v>
      </c>
      <c r="K8" s="38">
        <v>43561</v>
      </c>
      <c r="L8" s="38">
        <v>43562</v>
      </c>
      <c r="M8" s="46">
        <v>0.45833333333333331</v>
      </c>
      <c r="N8" s="3">
        <v>0</v>
      </c>
      <c r="P8" s="38">
        <v>43591</v>
      </c>
      <c r="Q8" s="38">
        <v>43592</v>
      </c>
      <c r="R8" s="54">
        <v>0.45833333333333331</v>
      </c>
      <c r="S8" s="41">
        <v>0</v>
      </c>
      <c r="U8" s="38">
        <v>43622</v>
      </c>
      <c r="V8" s="38">
        <v>43623</v>
      </c>
      <c r="W8" s="64">
        <v>0.39583333333333331</v>
      </c>
      <c r="X8" s="79">
        <v>9.5</v>
      </c>
      <c r="Z8" s="38">
        <v>43652</v>
      </c>
      <c r="AA8" s="38">
        <v>43653</v>
      </c>
      <c r="AB8" s="64">
        <v>0.45833333333333331</v>
      </c>
      <c r="AC8" s="82">
        <v>0</v>
      </c>
      <c r="AE8" s="38">
        <v>43683</v>
      </c>
      <c r="AF8" s="38">
        <v>43684</v>
      </c>
      <c r="AG8" s="64">
        <v>0.60416666666666663</v>
      </c>
      <c r="AH8" s="86">
        <v>0.5</v>
      </c>
      <c r="AJ8" s="38">
        <v>43714</v>
      </c>
      <c r="AK8" s="38">
        <v>43715</v>
      </c>
      <c r="AL8" s="64">
        <v>0.33958333333333335</v>
      </c>
      <c r="AM8" s="95">
        <v>58.5</v>
      </c>
      <c r="AO8" s="38">
        <v>43744</v>
      </c>
      <c r="AP8" s="38">
        <v>43745</v>
      </c>
      <c r="AQ8" s="64">
        <v>0.3125</v>
      </c>
      <c r="AR8" s="100">
        <v>0.5</v>
      </c>
      <c r="AT8" s="38">
        <v>43775</v>
      </c>
      <c r="AU8" s="38">
        <v>43776</v>
      </c>
      <c r="AV8" s="64">
        <v>0.3125</v>
      </c>
      <c r="AW8" s="103">
        <v>0</v>
      </c>
      <c r="AZ8" s="38">
        <v>43805</v>
      </c>
      <c r="BA8" s="38">
        <v>43806</v>
      </c>
      <c r="BB8" s="64">
        <v>0.3125</v>
      </c>
      <c r="BC8" s="106">
        <v>0</v>
      </c>
    </row>
    <row r="9" spans="1:55" x14ac:dyDescent="0.25">
      <c r="A9" s="38">
        <v>43511</v>
      </c>
      <c r="B9" s="38">
        <v>43512</v>
      </c>
      <c r="C9" s="36">
        <v>0.375</v>
      </c>
      <c r="D9" s="3">
        <v>0</v>
      </c>
      <c r="F9" s="38">
        <v>43531</v>
      </c>
      <c r="G9" s="38">
        <v>43532</v>
      </c>
      <c r="H9" s="19">
        <v>0.45833333333333331</v>
      </c>
      <c r="I9" s="3">
        <v>0</v>
      </c>
      <c r="K9" s="38">
        <v>43562</v>
      </c>
      <c r="L9" s="38">
        <v>43563</v>
      </c>
      <c r="M9" s="46">
        <v>0.45833333333333331</v>
      </c>
      <c r="N9" s="3">
        <v>0</v>
      </c>
      <c r="P9" s="38">
        <v>43592</v>
      </c>
      <c r="Q9" s="38">
        <v>43593</v>
      </c>
      <c r="R9" s="54">
        <v>0.35555555555555557</v>
      </c>
      <c r="S9" s="41">
        <v>2.2999999999999998</v>
      </c>
      <c r="U9" s="38">
        <v>43623</v>
      </c>
      <c r="V9" s="38">
        <v>43624</v>
      </c>
      <c r="W9" s="64">
        <v>0.45833333333333331</v>
      </c>
      <c r="X9" s="79">
        <v>0</v>
      </c>
      <c r="Z9" s="38">
        <v>43653</v>
      </c>
      <c r="AA9" s="38">
        <v>43654</v>
      </c>
      <c r="AB9" s="64">
        <v>0.45833333333333331</v>
      </c>
      <c r="AC9" s="82">
        <v>0</v>
      </c>
      <c r="AE9" s="38">
        <v>43684</v>
      </c>
      <c r="AF9" s="38">
        <v>43685</v>
      </c>
      <c r="AG9" s="64">
        <v>0.45833333333333331</v>
      </c>
      <c r="AH9" s="86">
        <v>0</v>
      </c>
      <c r="AJ9" s="38">
        <v>43715</v>
      </c>
      <c r="AK9" s="38">
        <v>43716</v>
      </c>
      <c r="AL9" s="64">
        <v>0.39930555555555558</v>
      </c>
      <c r="AM9" s="95">
        <v>1</v>
      </c>
      <c r="AO9" s="38">
        <v>43745</v>
      </c>
      <c r="AP9" s="38">
        <v>43746</v>
      </c>
      <c r="AQ9" s="64">
        <v>0.3125</v>
      </c>
      <c r="AR9" s="100">
        <v>0</v>
      </c>
      <c r="AT9" s="38">
        <v>43776</v>
      </c>
      <c r="AU9" s="38">
        <v>43777</v>
      </c>
      <c r="AV9" s="64">
        <v>0.3125</v>
      </c>
      <c r="AW9" s="103">
        <v>0</v>
      </c>
      <c r="AZ9" s="38">
        <v>43806</v>
      </c>
      <c r="BA9" s="38">
        <v>43807</v>
      </c>
      <c r="BB9" s="64">
        <v>0.3125</v>
      </c>
      <c r="BC9" s="106">
        <v>0</v>
      </c>
    </row>
    <row r="10" spans="1:55" x14ac:dyDescent="0.25">
      <c r="A10" s="38">
        <v>43512</v>
      </c>
      <c r="B10" s="38">
        <v>43513</v>
      </c>
      <c r="C10" s="36">
        <v>0.375</v>
      </c>
      <c r="D10" s="3">
        <v>0</v>
      </c>
      <c r="F10" s="38">
        <v>43532</v>
      </c>
      <c r="G10" s="38">
        <v>43533</v>
      </c>
      <c r="H10" s="19">
        <v>0.45833333333333331</v>
      </c>
      <c r="I10" s="3">
        <v>0</v>
      </c>
      <c r="K10" s="38">
        <v>43563</v>
      </c>
      <c r="L10" s="38">
        <v>43564</v>
      </c>
      <c r="M10" s="46">
        <v>0.45833333333333331</v>
      </c>
      <c r="N10" s="3">
        <v>0</v>
      </c>
      <c r="P10" s="38">
        <v>43593</v>
      </c>
      <c r="Q10" s="38">
        <v>43594</v>
      </c>
      <c r="R10" s="54">
        <v>0.45833333333333331</v>
      </c>
      <c r="S10" s="41">
        <v>0</v>
      </c>
      <c r="U10" s="38">
        <v>43624</v>
      </c>
      <c r="V10" s="38">
        <v>43625</v>
      </c>
      <c r="W10" s="64">
        <v>0.45833333333333331</v>
      </c>
      <c r="X10" s="41">
        <v>0</v>
      </c>
      <c r="Z10" s="38">
        <v>43654</v>
      </c>
      <c r="AA10" s="38">
        <v>43655</v>
      </c>
      <c r="AB10" s="64">
        <v>0.32291666666666669</v>
      </c>
      <c r="AC10" s="41">
        <v>12</v>
      </c>
      <c r="AE10" s="38">
        <v>43685</v>
      </c>
      <c r="AF10" s="38">
        <v>43686</v>
      </c>
      <c r="AG10" s="64">
        <v>0.34861111111111115</v>
      </c>
      <c r="AH10" s="86">
        <v>12</v>
      </c>
      <c r="AJ10" s="38">
        <v>43716</v>
      </c>
      <c r="AK10" s="38">
        <v>43717</v>
      </c>
      <c r="AL10" s="64">
        <v>0.33055555555555555</v>
      </c>
      <c r="AM10" s="95">
        <v>10.5</v>
      </c>
      <c r="AO10" s="38">
        <v>43746</v>
      </c>
      <c r="AP10" s="38">
        <v>43747</v>
      </c>
      <c r="AQ10" s="64">
        <v>0.3125</v>
      </c>
      <c r="AR10" s="100">
        <v>14</v>
      </c>
      <c r="AT10" s="38">
        <v>43777</v>
      </c>
      <c r="AU10" s="38">
        <v>43778</v>
      </c>
      <c r="AV10" s="64">
        <v>0.3125</v>
      </c>
      <c r="AW10" s="103">
        <v>7.5</v>
      </c>
      <c r="AZ10" s="38">
        <v>43807</v>
      </c>
      <c r="BA10" s="38">
        <v>43808</v>
      </c>
      <c r="BB10" s="64">
        <v>0.3125</v>
      </c>
      <c r="BC10" s="106">
        <v>0</v>
      </c>
    </row>
    <row r="11" spans="1:55" x14ac:dyDescent="0.25">
      <c r="A11" s="38">
        <v>43513</v>
      </c>
      <c r="B11" s="38">
        <v>43514</v>
      </c>
      <c r="C11" s="36">
        <v>0.375</v>
      </c>
      <c r="D11" s="3">
        <v>0</v>
      </c>
      <c r="F11" s="38">
        <v>43533</v>
      </c>
      <c r="G11" s="38">
        <v>43534</v>
      </c>
      <c r="H11" s="19">
        <v>0.45833333333333331</v>
      </c>
      <c r="I11" s="3">
        <v>0</v>
      </c>
      <c r="K11" s="38">
        <v>43564</v>
      </c>
      <c r="L11" s="38">
        <v>43565</v>
      </c>
      <c r="M11" s="46">
        <v>0.45833333333333331</v>
      </c>
      <c r="N11" s="3">
        <v>0</v>
      </c>
      <c r="P11" s="38">
        <v>43594</v>
      </c>
      <c r="Q11" s="38">
        <v>43595</v>
      </c>
      <c r="R11" s="54">
        <v>0.45833333333333331</v>
      </c>
      <c r="S11" s="41">
        <v>0</v>
      </c>
      <c r="U11" s="38">
        <v>43625</v>
      </c>
      <c r="V11" s="38">
        <v>43626</v>
      </c>
      <c r="W11" s="64">
        <v>0.45833333333333331</v>
      </c>
      <c r="X11" s="41">
        <v>0</v>
      </c>
      <c r="Z11" s="38">
        <v>43655</v>
      </c>
      <c r="AA11" s="38">
        <v>43656</v>
      </c>
      <c r="AB11" s="64">
        <v>0.45833333333333331</v>
      </c>
      <c r="AC11" s="41">
        <v>0</v>
      </c>
      <c r="AE11" s="38">
        <v>43686</v>
      </c>
      <c r="AF11" s="38">
        <v>43687</v>
      </c>
      <c r="AG11" s="64">
        <v>0.45833333333333331</v>
      </c>
      <c r="AH11" s="86">
        <v>0</v>
      </c>
      <c r="AJ11" s="38">
        <v>43717</v>
      </c>
      <c r="AK11" s="38">
        <v>43718</v>
      </c>
      <c r="AL11" s="64">
        <v>0.34097222222222223</v>
      </c>
      <c r="AM11" s="95">
        <v>13</v>
      </c>
      <c r="AO11" s="38">
        <v>43747</v>
      </c>
      <c r="AP11" s="38">
        <v>43748</v>
      </c>
      <c r="AQ11" s="64">
        <v>0.3125</v>
      </c>
      <c r="AR11" s="100">
        <v>0.5</v>
      </c>
      <c r="AT11" s="38">
        <v>43778</v>
      </c>
      <c r="AU11" s="38">
        <v>43779</v>
      </c>
      <c r="AV11" s="64">
        <v>0.3125</v>
      </c>
      <c r="AW11" s="103">
        <v>0</v>
      </c>
      <c r="AZ11" s="38">
        <v>43808</v>
      </c>
      <c r="BA11" s="38">
        <v>43809</v>
      </c>
      <c r="BB11" s="64">
        <v>0.3125</v>
      </c>
      <c r="BC11" s="106">
        <v>0</v>
      </c>
    </row>
    <row r="12" spans="1:55" x14ac:dyDescent="0.25">
      <c r="A12" s="38">
        <v>43514</v>
      </c>
      <c r="B12" s="38">
        <v>43515</v>
      </c>
      <c r="C12" s="36">
        <v>0.375</v>
      </c>
      <c r="D12" s="3">
        <v>0</v>
      </c>
      <c r="F12" s="38">
        <v>43534</v>
      </c>
      <c r="G12" s="38">
        <v>43535</v>
      </c>
      <c r="H12" s="19">
        <v>0.45833333333333331</v>
      </c>
      <c r="I12" s="3">
        <v>0</v>
      </c>
      <c r="K12" s="38">
        <v>43565</v>
      </c>
      <c r="L12" s="38">
        <v>43566</v>
      </c>
      <c r="M12" s="46">
        <v>0.45833333333333331</v>
      </c>
      <c r="N12" s="3">
        <v>0</v>
      </c>
      <c r="P12" s="38">
        <v>43595</v>
      </c>
      <c r="Q12" s="38">
        <v>43596</v>
      </c>
      <c r="R12" s="54">
        <v>0.45833333333333331</v>
      </c>
      <c r="S12" s="41">
        <v>0</v>
      </c>
      <c r="U12" s="38">
        <v>43626</v>
      </c>
      <c r="V12" s="38">
        <v>43627</v>
      </c>
      <c r="W12" s="64">
        <v>0.45833333333333331</v>
      </c>
      <c r="X12" s="41">
        <v>0</v>
      </c>
      <c r="Z12" s="38">
        <v>43656</v>
      </c>
      <c r="AA12" s="38">
        <v>43657</v>
      </c>
      <c r="AB12" s="64">
        <v>0.45833333333333331</v>
      </c>
      <c r="AC12" s="41">
        <v>0</v>
      </c>
      <c r="AE12" s="38">
        <v>43687</v>
      </c>
      <c r="AF12" s="38">
        <v>43688</v>
      </c>
      <c r="AG12" s="64">
        <v>0.45833333333333331</v>
      </c>
      <c r="AH12" s="86">
        <v>0</v>
      </c>
      <c r="AJ12" s="38">
        <v>43718</v>
      </c>
      <c r="AK12" s="38">
        <v>43719</v>
      </c>
      <c r="AL12" s="64">
        <v>0.3354166666666667</v>
      </c>
      <c r="AM12" s="95">
        <v>18.5</v>
      </c>
      <c r="AO12" s="38">
        <v>43748</v>
      </c>
      <c r="AP12" s="38">
        <v>43749</v>
      </c>
      <c r="AQ12" s="64">
        <v>0.3125</v>
      </c>
      <c r="AR12" s="100">
        <v>0</v>
      </c>
      <c r="AT12" s="38">
        <v>43779</v>
      </c>
      <c r="AU12" s="38">
        <v>43780</v>
      </c>
      <c r="AV12" s="64">
        <v>0.3125</v>
      </c>
      <c r="AW12" s="103">
        <v>0</v>
      </c>
      <c r="AZ12" s="38">
        <v>43809</v>
      </c>
      <c r="BA12" s="38">
        <v>43810</v>
      </c>
      <c r="BB12" s="64">
        <v>0.3125</v>
      </c>
      <c r="BC12" s="106">
        <v>0</v>
      </c>
    </row>
    <row r="13" spans="1:55" x14ac:dyDescent="0.25">
      <c r="A13" s="38">
        <v>43515</v>
      </c>
      <c r="B13" s="38">
        <v>43516</v>
      </c>
      <c r="C13" s="36">
        <v>0.375</v>
      </c>
      <c r="D13" s="3">
        <v>0</v>
      </c>
      <c r="F13" s="38">
        <v>43535</v>
      </c>
      <c r="G13" s="38">
        <v>43536</v>
      </c>
      <c r="H13" s="19">
        <v>0.45833333333333331</v>
      </c>
      <c r="I13" s="40">
        <v>0</v>
      </c>
      <c r="K13" s="38">
        <v>43566</v>
      </c>
      <c r="L13" s="38">
        <v>43567</v>
      </c>
      <c r="M13" s="46">
        <v>0.45833333333333331</v>
      </c>
      <c r="N13" s="3">
        <v>0</v>
      </c>
      <c r="P13" s="38">
        <v>43596</v>
      </c>
      <c r="Q13" s="38">
        <v>43597</v>
      </c>
      <c r="R13" s="54">
        <v>0.36805555555555558</v>
      </c>
      <c r="S13" s="41">
        <v>1</v>
      </c>
      <c r="U13" s="38">
        <v>43627</v>
      </c>
      <c r="V13" s="38">
        <v>43628</v>
      </c>
      <c r="W13" s="64">
        <v>0.45833333333333331</v>
      </c>
      <c r="X13" s="41">
        <v>1</v>
      </c>
      <c r="Z13" s="38">
        <v>43657</v>
      </c>
      <c r="AA13" s="38">
        <v>43658</v>
      </c>
      <c r="AB13" s="64">
        <v>0.45833333333333331</v>
      </c>
      <c r="AC13" s="41">
        <v>0</v>
      </c>
      <c r="AE13" s="38">
        <v>43688</v>
      </c>
      <c r="AF13" s="38">
        <v>43689</v>
      </c>
      <c r="AG13" s="64">
        <v>0.45833333333333331</v>
      </c>
      <c r="AH13" s="86">
        <v>0</v>
      </c>
      <c r="AJ13" s="38">
        <v>43719</v>
      </c>
      <c r="AK13" s="38">
        <v>43720</v>
      </c>
      <c r="AL13" s="64">
        <v>0.45833333333333331</v>
      </c>
      <c r="AM13" s="95">
        <v>0</v>
      </c>
      <c r="AO13" s="38">
        <v>43749</v>
      </c>
      <c r="AP13" s="38">
        <v>43750</v>
      </c>
      <c r="AQ13" s="64">
        <v>0.3125</v>
      </c>
      <c r="AR13" s="100">
        <v>21</v>
      </c>
      <c r="AT13" s="38">
        <v>43780</v>
      </c>
      <c r="AU13" s="38">
        <v>43781</v>
      </c>
      <c r="AV13" s="64">
        <v>0.3125</v>
      </c>
      <c r="AW13" s="103">
        <v>0</v>
      </c>
      <c r="AZ13" s="38">
        <v>43810</v>
      </c>
      <c r="BA13" s="38">
        <v>43811</v>
      </c>
      <c r="BB13" s="64">
        <v>0.3125</v>
      </c>
      <c r="BC13" s="106">
        <v>0</v>
      </c>
    </row>
    <row r="14" spans="1:55" x14ac:dyDescent="0.25">
      <c r="A14" s="38">
        <v>43516</v>
      </c>
      <c r="B14" s="38">
        <v>43517</v>
      </c>
      <c r="C14" s="36">
        <v>0.375</v>
      </c>
      <c r="D14" s="3">
        <v>0</v>
      </c>
      <c r="F14" s="38">
        <v>43536</v>
      </c>
      <c r="G14" s="38">
        <v>43537</v>
      </c>
      <c r="H14" s="19">
        <v>0.45833333333333331</v>
      </c>
      <c r="I14" s="40">
        <v>0</v>
      </c>
      <c r="K14" s="38">
        <v>43567</v>
      </c>
      <c r="L14" s="38">
        <v>43568</v>
      </c>
      <c r="M14" s="46">
        <v>0.45833333333333331</v>
      </c>
      <c r="N14" s="3">
        <v>0</v>
      </c>
      <c r="P14" s="38">
        <v>43597</v>
      </c>
      <c r="Q14" s="38">
        <v>43598</v>
      </c>
      <c r="R14" s="54">
        <v>0.45833333333333331</v>
      </c>
      <c r="S14" s="41">
        <v>0</v>
      </c>
      <c r="U14" s="38">
        <v>43628</v>
      </c>
      <c r="V14" s="38">
        <v>43629</v>
      </c>
      <c r="W14" s="64">
        <v>0.45833333333333331</v>
      </c>
      <c r="X14" s="41">
        <v>0</v>
      </c>
      <c r="Z14" s="38">
        <v>43658</v>
      </c>
      <c r="AA14" s="38">
        <v>43659</v>
      </c>
      <c r="AB14" s="64">
        <v>0.45833333333333331</v>
      </c>
      <c r="AC14" s="82">
        <v>0</v>
      </c>
      <c r="AE14" s="38">
        <v>43689</v>
      </c>
      <c r="AF14" s="38">
        <v>43690</v>
      </c>
      <c r="AG14" s="64">
        <v>0.45833333333333331</v>
      </c>
      <c r="AH14" s="86">
        <v>0</v>
      </c>
      <c r="AJ14" s="38">
        <v>43720</v>
      </c>
      <c r="AK14" s="38">
        <v>43721</v>
      </c>
      <c r="AL14" s="64">
        <v>0.3263888888888889</v>
      </c>
      <c r="AM14" s="95">
        <v>21</v>
      </c>
      <c r="AO14" s="38">
        <v>43750</v>
      </c>
      <c r="AP14" s="38">
        <v>43751</v>
      </c>
      <c r="AQ14" s="64">
        <v>0.3125</v>
      </c>
      <c r="AR14" s="100">
        <v>6.5</v>
      </c>
      <c r="AT14" s="38">
        <v>43781</v>
      </c>
      <c r="AU14" s="38">
        <v>43782</v>
      </c>
      <c r="AV14" s="64">
        <v>0.3125</v>
      </c>
      <c r="AW14" s="103">
        <v>0</v>
      </c>
      <c r="AZ14" s="38">
        <v>43811</v>
      </c>
      <c r="BA14" s="38">
        <v>43812</v>
      </c>
      <c r="BB14" s="64">
        <v>0.3125</v>
      </c>
      <c r="BC14" s="106">
        <v>0</v>
      </c>
    </row>
    <row r="15" spans="1:55" x14ac:dyDescent="0.25">
      <c r="A15" s="38">
        <v>43517</v>
      </c>
      <c r="B15" s="38">
        <v>43518</v>
      </c>
      <c r="C15" s="36">
        <v>0.375</v>
      </c>
      <c r="D15" s="3">
        <v>0</v>
      </c>
      <c r="F15" s="38">
        <v>43537</v>
      </c>
      <c r="G15" s="38">
        <v>43538</v>
      </c>
      <c r="H15" s="19">
        <v>0.45833333333333331</v>
      </c>
      <c r="I15" s="40">
        <v>0</v>
      </c>
      <c r="K15" s="38">
        <v>43568</v>
      </c>
      <c r="L15" s="38">
        <v>43569</v>
      </c>
      <c r="M15" s="46">
        <v>0.45833333333333331</v>
      </c>
      <c r="N15" s="3">
        <v>0</v>
      </c>
      <c r="P15" s="38">
        <v>43598</v>
      </c>
      <c r="Q15" s="38">
        <v>43599</v>
      </c>
      <c r="R15" s="54">
        <v>0.33333333333333331</v>
      </c>
      <c r="S15" s="41">
        <v>3</v>
      </c>
      <c r="U15" s="38">
        <v>43629</v>
      </c>
      <c r="V15" s="38">
        <v>43630</v>
      </c>
      <c r="W15" s="64">
        <v>0.45833333333333331</v>
      </c>
      <c r="X15" s="41">
        <v>2</v>
      </c>
      <c r="Z15" s="38">
        <v>43659</v>
      </c>
      <c r="AA15" s="38">
        <v>43660</v>
      </c>
      <c r="AB15" s="64">
        <v>0.33124999999999999</v>
      </c>
      <c r="AC15" s="41">
        <v>13.5</v>
      </c>
      <c r="AE15" s="38">
        <v>43690</v>
      </c>
      <c r="AF15" s="38">
        <v>43691</v>
      </c>
      <c r="AG15" s="64">
        <v>0.45833333333333331</v>
      </c>
      <c r="AH15" s="86">
        <v>0</v>
      </c>
      <c r="AJ15" s="38">
        <v>43721</v>
      </c>
      <c r="AK15" s="38">
        <v>43722</v>
      </c>
      <c r="AL15" s="64">
        <v>0.3125</v>
      </c>
      <c r="AM15" s="95">
        <v>3.5</v>
      </c>
      <c r="AO15" s="38">
        <v>43751</v>
      </c>
      <c r="AP15" s="38">
        <v>43752</v>
      </c>
      <c r="AQ15" s="64">
        <v>0.3125</v>
      </c>
      <c r="AR15" s="100">
        <v>0</v>
      </c>
      <c r="AT15" s="38">
        <v>43782</v>
      </c>
      <c r="AU15" s="38">
        <v>43783</v>
      </c>
      <c r="AV15" s="64">
        <v>0.3125</v>
      </c>
      <c r="AW15" s="103">
        <v>0</v>
      </c>
      <c r="AZ15" s="38">
        <v>43812</v>
      </c>
      <c r="BA15" s="38">
        <v>43813</v>
      </c>
      <c r="BB15" s="64">
        <v>0.3125</v>
      </c>
      <c r="BC15" s="106">
        <v>0</v>
      </c>
    </row>
    <row r="16" spans="1:55" x14ac:dyDescent="0.25">
      <c r="A16" s="38">
        <v>43518</v>
      </c>
      <c r="B16" s="38">
        <v>43519</v>
      </c>
      <c r="C16" s="36">
        <v>0.375</v>
      </c>
      <c r="D16" s="3">
        <v>0</v>
      </c>
      <c r="F16" s="38">
        <v>43538</v>
      </c>
      <c r="G16" s="38">
        <v>43539</v>
      </c>
      <c r="H16" s="19">
        <v>0.45833333333333331</v>
      </c>
      <c r="I16" s="40">
        <v>0</v>
      </c>
      <c r="K16" s="38">
        <v>43569</v>
      </c>
      <c r="L16" s="38">
        <v>43570</v>
      </c>
      <c r="M16" s="46">
        <v>0.45833333333333331</v>
      </c>
      <c r="N16" s="3">
        <v>0</v>
      </c>
      <c r="P16" s="38">
        <v>43599</v>
      </c>
      <c r="Q16" s="38">
        <v>43600</v>
      </c>
      <c r="R16" s="54">
        <v>0.45833333333333331</v>
      </c>
      <c r="S16" s="41">
        <v>0</v>
      </c>
      <c r="U16" s="38">
        <v>43630</v>
      </c>
      <c r="V16" s="38">
        <v>43631</v>
      </c>
      <c r="W16" s="64">
        <v>0.42499999999999999</v>
      </c>
      <c r="X16" s="41">
        <v>9.1999999999999993</v>
      </c>
      <c r="Z16" s="38">
        <v>43660</v>
      </c>
      <c r="AA16" s="38">
        <v>43661</v>
      </c>
      <c r="AB16" s="64">
        <v>0.45833333333333331</v>
      </c>
      <c r="AC16" s="82">
        <v>0</v>
      </c>
      <c r="AE16" s="38">
        <v>43691</v>
      </c>
      <c r="AF16" s="38">
        <v>43692</v>
      </c>
      <c r="AG16" s="64">
        <v>0.45833333333333331</v>
      </c>
      <c r="AH16" s="86">
        <v>0</v>
      </c>
      <c r="AJ16" s="38">
        <v>43722</v>
      </c>
      <c r="AK16" s="38">
        <v>43723</v>
      </c>
      <c r="AL16" s="64">
        <v>0.3125</v>
      </c>
      <c r="AM16" s="95">
        <v>15</v>
      </c>
      <c r="AO16" s="38">
        <v>43752</v>
      </c>
      <c r="AP16" s="38">
        <v>43753</v>
      </c>
      <c r="AQ16" s="64">
        <v>0.3125</v>
      </c>
      <c r="AR16" s="100">
        <v>0</v>
      </c>
      <c r="AT16" s="38">
        <v>43783</v>
      </c>
      <c r="AU16" s="38">
        <v>43784</v>
      </c>
      <c r="AV16" s="64">
        <v>0.3125</v>
      </c>
      <c r="AW16" s="103">
        <v>0</v>
      </c>
      <c r="AZ16" s="38">
        <v>43813</v>
      </c>
      <c r="BA16" s="38">
        <v>43814</v>
      </c>
      <c r="BB16" s="64">
        <v>0.3125</v>
      </c>
      <c r="BC16" s="106">
        <v>0</v>
      </c>
    </row>
    <row r="17" spans="1:55" x14ac:dyDescent="0.25">
      <c r="A17" s="38">
        <v>43519</v>
      </c>
      <c r="B17" s="38">
        <v>43520</v>
      </c>
      <c r="C17" s="36">
        <v>0.375</v>
      </c>
      <c r="D17" s="3">
        <v>0</v>
      </c>
      <c r="F17" s="38">
        <v>43539</v>
      </c>
      <c r="G17" s="38">
        <v>43540</v>
      </c>
      <c r="H17" s="19">
        <v>0.45833333333333331</v>
      </c>
      <c r="I17" s="40">
        <v>0</v>
      </c>
      <c r="K17" s="38">
        <v>43570</v>
      </c>
      <c r="L17" s="38">
        <v>43571</v>
      </c>
      <c r="M17" s="46">
        <v>0.45833333333333331</v>
      </c>
      <c r="N17" s="3">
        <v>0</v>
      </c>
      <c r="P17" s="38">
        <v>43600</v>
      </c>
      <c r="Q17" s="38">
        <v>43601</v>
      </c>
      <c r="R17" s="54">
        <v>0.45833333333333331</v>
      </c>
      <c r="S17" s="41">
        <v>0</v>
      </c>
      <c r="U17" s="38">
        <v>43631</v>
      </c>
      <c r="V17" s="38">
        <v>43632</v>
      </c>
      <c r="W17" s="64">
        <v>0.3263888888888889</v>
      </c>
      <c r="X17" s="41">
        <v>0</v>
      </c>
      <c r="Z17" s="38">
        <v>43661</v>
      </c>
      <c r="AA17" s="38">
        <v>43662</v>
      </c>
      <c r="AB17" s="64">
        <v>0.45833333333333331</v>
      </c>
      <c r="AC17" s="82">
        <v>0</v>
      </c>
      <c r="AE17" s="38">
        <v>43692</v>
      </c>
      <c r="AF17" s="38">
        <v>43693</v>
      </c>
      <c r="AG17" s="64">
        <v>0.45833333333333331</v>
      </c>
      <c r="AH17" s="86">
        <v>0</v>
      </c>
      <c r="AJ17" s="38">
        <v>43723</v>
      </c>
      <c r="AK17" s="38">
        <v>43724</v>
      </c>
      <c r="AL17" s="64">
        <v>0.3125</v>
      </c>
      <c r="AM17" s="95">
        <v>0</v>
      </c>
      <c r="AO17" s="38">
        <v>43753</v>
      </c>
      <c r="AP17" s="38">
        <v>43754</v>
      </c>
      <c r="AQ17" s="64">
        <v>0.3125</v>
      </c>
      <c r="AR17" s="100">
        <v>0</v>
      </c>
      <c r="AT17" s="38">
        <v>43784</v>
      </c>
      <c r="AU17" s="38">
        <v>43785</v>
      </c>
      <c r="AV17" s="64">
        <v>0.3125</v>
      </c>
      <c r="AW17" s="103">
        <v>0</v>
      </c>
      <c r="AZ17" s="38">
        <v>43814</v>
      </c>
      <c r="BA17" s="38">
        <v>43815</v>
      </c>
      <c r="BB17" s="64">
        <v>0.3125</v>
      </c>
      <c r="BC17" s="106">
        <v>0</v>
      </c>
    </row>
    <row r="18" spans="1:55" x14ac:dyDescent="0.25">
      <c r="A18" s="38">
        <v>43520</v>
      </c>
      <c r="B18" s="38">
        <v>43521</v>
      </c>
      <c r="C18" s="36">
        <v>0.375</v>
      </c>
      <c r="D18" s="3">
        <v>0</v>
      </c>
      <c r="F18" s="38">
        <v>43540</v>
      </c>
      <c r="G18" s="38">
        <v>43541</v>
      </c>
      <c r="H18" s="19">
        <v>0.45833333333333331</v>
      </c>
      <c r="I18" s="40">
        <v>0</v>
      </c>
      <c r="K18" s="38">
        <v>43571</v>
      </c>
      <c r="L18" s="38">
        <v>43572</v>
      </c>
      <c r="M18" s="46">
        <v>0.45833333333333331</v>
      </c>
      <c r="N18" s="3">
        <v>0</v>
      </c>
      <c r="P18" s="38">
        <v>43601</v>
      </c>
      <c r="Q18" s="38">
        <v>43602</v>
      </c>
      <c r="R18" s="54">
        <v>0.45833333333333331</v>
      </c>
      <c r="S18" s="41">
        <v>0</v>
      </c>
      <c r="U18" s="38">
        <v>43632</v>
      </c>
      <c r="V18" s="38">
        <v>43633</v>
      </c>
      <c r="W18" s="64">
        <v>0.45833333333333331</v>
      </c>
      <c r="X18" s="41">
        <v>0</v>
      </c>
      <c r="Z18" s="38">
        <v>43662</v>
      </c>
      <c r="AA18" s="38">
        <v>43663</v>
      </c>
      <c r="AB18" s="64">
        <v>0.45833333333333331</v>
      </c>
      <c r="AC18" s="82">
        <v>0</v>
      </c>
      <c r="AE18" s="38">
        <v>43693</v>
      </c>
      <c r="AF18" s="38">
        <v>43694</v>
      </c>
      <c r="AG18" s="64">
        <v>0.34722222222222227</v>
      </c>
      <c r="AH18" s="86">
        <v>2.5</v>
      </c>
      <c r="AJ18" s="38">
        <v>43724</v>
      </c>
      <c r="AK18" s="38">
        <v>43725</v>
      </c>
      <c r="AL18" s="64">
        <v>0.3125</v>
      </c>
      <c r="AM18" s="95">
        <v>0</v>
      </c>
      <c r="AO18" s="38">
        <v>43754</v>
      </c>
      <c r="AP18" s="38">
        <v>43755</v>
      </c>
      <c r="AQ18" s="64">
        <v>0.3125</v>
      </c>
      <c r="AR18" s="100">
        <v>0</v>
      </c>
      <c r="AT18" s="38">
        <v>43785</v>
      </c>
      <c r="AU18" s="38">
        <v>43786</v>
      </c>
      <c r="AV18" s="64">
        <v>0.3125</v>
      </c>
      <c r="AW18" s="103">
        <v>0</v>
      </c>
      <c r="AZ18" s="38">
        <v>43815</v>
      </c>
      <c r="BA18" s="38">
        <v>43816</v>
      </c>
      <c r="BB18" s="64">
        <v>0.3125</v>
      </c>
      <c r="BC18" s="106">
        <v>0</v>
      </c>
    </row>
    <row r="19" spans="1:55" x14ac:dyDescent="0.25">
      <c r="A19" s="38">
        <v>43521</v>
      </c>
      <c r="B19" s="38">
        <v>43522</v>
      </c>
      <c r="C19" s="36">
        <v>0.375</v>
      </c>
      <c r="D19" s="3">
        <v>0</v>
      </c>
      <c r="F19" s="38">
        <v>43541</v>
      </c>
      <c r="G19" s="38">
        <v>43542</v>
      </c>
      <c r="H19" s="19">
        <v>0.45833333333333331</v>
      </c>
      <c r="I19" s="41">
        <v>0</v>
      </c>
      <c r="K19" s="38">
        <v>43572</v>
      </c>
      <c r="L19" s="38">
        <v>43573</v>
      </c>
      <c r="M19" s="46">
        <v>0.45833333333333331</v>
      </c>
      <c r="N19" s="3">
        <v>0</v>
      </c>
      <c r="P19" s="38">
        <v>43602</v>
      </c>
      <c r="Q19" s="38">
        <v>43603</v>
      </c>
      <c r="R19" s="54">
        <v>0.33333333333333331</v>
      </c>
      <c r="S19" s="41">
        <v>32.5</v>
      </c>
      <c r="U19" s="38">
        <v>43633</v>
      </c>
      <c r="V19" s="38">
        <v>43634</v>
      </c>
      <c r="W19" s="64">
        <v>0.45833333333333331</v>
      </c>
      <c r="X19" s="41">
        <v>0</v>
      </c>
      <c r="Z19" s="38">
        <v>43663</v>
      </c>
      <c r="AA19" s="38">
        <v>43664</v>
      </c>
      <c r="AB19" s="64">
        <v>0.62013888888888891</v>
      </c>
      <c r="AC19" s="41">
        <v>32.5</v>
      </c>
      <c r="AE19" s="38">
        <v>43694</v>
      </c>
      <c r="AF19" s="38">
        <v>43695</v>
      </c>
      <c r="AG19" s="64">
        <v>0.45833333333333331</v>
      </c>
      <c r="AH19" s="86">
        <v>0</v>
      </c>
      <c r="AJ19" s="38">
        <v>43725</v>
      </c>
      <c r="AK19" s="38">
        <v>43726</v>
      </c>
      <c r="AL19" s="64">
        <v>0.3125</v>
      </c>
      <c r="AM19" s="95">
        <v>12.5</v>
      </c>
      <c r="AO19" s="38">
        <v>43755</v>
      </c>
      <c r="AP19" s="38">
        <v>43756</v>
      </c>
      <c r="AQ19" s="64">
        <v>0.3125</v>
      </c>
      <c r="AR19" s="100">
        <v>0</v>
      </c>
      <c r="AT19" s="38">
        <v>43786</v>
      </c>
      <c r="AU19" s="38">
        <v>43787</v>
      </c>
      <c r="AV19" s="64">
        <v>0.3125</v>
      </c>
      <c r="AW19" s="103">
        <v>0</v>
      </c>
      <c r="AZ19" s="38">
        <v>43816</v>
      </c>
      <c r="BA19" s="38">
        <v>43817</v>
      </c>
      <c r="BB19" s="64">
        <v>0.3125</v>
      </c>
      <c r="BC19" s="106">
        <v>0</v>
      </c>
    </row>
    <row r="20" spans="1:55" x14ac:dyDescent="0.25">
      <c r="A20" s="38">
        <v>43522</v>
      </c>
      <c r="B20" s="38">
        <v>43523</v>
      </c>
      <c r="C20" s="36">
        <v>0.375</v>
      </c>
      <c r="D20" s="3">
        <v>0</v>
      </c>
      <c r="F20" s="38">
        <v>43542</v>
      </c>
      <c r="G20" s="38">
        <v>43543</v>
      </c>
      <c r="H20" s="19">
        <v>0.35069444444444442</v>
      </c>
      <c r="I20" s="3">
        <v>3.7</v>
      </c>
      <c r="K20" s="38">
        <v>43573</v>
      </c>
      <c r="L20" s="38">
        <v>43574</v>
      </c>
      <c r="M20" s="46">
        <v>0.32500000000000001</v>
      </c>
      <c r="N20" s="3">
        <v>14.5</v>
      </c>
      <c r="P20" s="38">
        <v>43603</v>
      </c>
      <c r="Q20" s="38">
        <v>43604</v>
      </c>
      <c r="R20" s="54">
        <v>0.45833333333333331</v>
      </c>
      <c r="S20" s="41">
        <v>0</v>
      </c>
      <c r="U20" s="38">
        <v>43634</v>
      </c>
      <c r="V20" s="38">
        <v>43635</v>
      </c>
      <c r="W20" s="64">
        <v>0.45833333333333331</v>
      </c>
      <c r="X20" s="41">
        <v>0</v>
      </c>
      <c r="Z20" s="38">
        <v>43664</v>
      </c>
      <c r="AA20" s="38">
        <v>43665</v>
      </c>
      <c r="AB20" s="64">
        <v>0.39027777777777778</v>
      </c>
      <c r="AC20" s="41">
        <v>0</v>
      </c>
      <c r="AE20" s="38">
        <v>43695</v>
      </c>
      <c r="AF20" s="38">
        <v>43696</v>
      </c>
      <c r="AG20" s="64">
        <v>0.45833333333333331</v>
      </c>
      <c r="AH20" s="86">
        <v>0</v>
      </c>
      <c r="AJ20" s="38">
        <v>43726</v>
      </c>
      <c r="AK20" s="38">
        <v>43727</v>
      </c>
      <c r="AL20" s="64">
        <v>0.3125</v>
      </c>
      <c r="AM20" s="95">
        <v>0</v>
      </c>
      <c r="AO20" s="38">
        <v>43756</v>
      </c>
      <c r="AP20" s="38">
        <v>43757</v>
      </c>
      <c r="AQ20" s="64">
        <v>0.3125</v>
      </c>
      <c r="AR20" s="100">
        <v>6.5</v>
      </c>
      <c r="AT20" s="38">
        <v>43787</v>
      </c>
      <c r="AU20" s="38">
        <v>43788</v>
      </c>
      <c r="AV20" s="64">
        <v>0.3125</v>
      </c>
      <c r="AW20" s="103">
        <v>0</v>
      </c>
      <c r="AZ20" s="38">
        <v>43817</v>
      </c>
      <c r="BA20" s="38">
        <v>43818</v>
      </c>
      <c r="BB20" s="64">
        <v>0.3125</v>
      </c>
      <c r="BC20" s="106">
        <v>0</v>
      </c>
    </row>
    <row r="21" spans="1:55" x14ac:dyDescent="0.25">
      <c r="A21" s="38">
        <v>43523</v>
      </c>
      <c r="B21" s="38">
        <v>43524</v>
      </c>
      <c r="C21" s="36">
        <v>0.375</v>
      </c>
      <c r="D21" s="3">
        <v>0</v>
      </c>
      <c r="F21" s="38">
        <v>43543</v>
      </c>
      <c r="G21" s="38">
        <v>43544</v>
      </c>
      <c r="H21" s="19">
        <v>0.45833333333333331</v>
      </c>
      <c r="I21" s="3">
        <v>0</v>
      </c>
      <c r="K21" s="38">
        <v>43574</v>
      </c>
      <c r="L21" s="38">
        <v>43575</v>
      </c>
      <c r="M21" s="49">
        <v>0.45833333333333331</v>
      </c>
      <c r="N21" s="3">
        <v>0</v>
      </c>
      <c r="P21" s="38">
        <v>43604</v>
      </c>
      <c r="Q21" s="38">
        <v>43605</v>
      </c>
      <c r="R21" s="54">
        <v>0.45833333333333331</v>
      </c>
      <c r="S21" s="41">
        <v>0</v>
      </c>
      <c r="U21" s="38">
        <v>43635</v>
      </c>
      <c r="V21" s="38">
        <v>43636</v>
      </c>
      <c r="W21" s="64">
        <v>0.3833333333333333</v>
      </c>
      <c r="X21" s="41">
        <v>0</v>
      </c>
      <c r="Z21" s="38">
        <v>43665</v>
      </c>
      <c r="AA21" s="38">
        <v>43666</v>
      </c>
      <c r="AB21" s="64">
        <v>0.3298611111111111</v>
      </c>
      <c r="AC21" s="41">
        <v>18.5</v>
      </c>
      <c r="AE21" s="38">
        <v>43696</v>
      </c>
      <c r="AF21" s="38">
        <v>43697</v>
      </c>
      <c r="AG21" s="64">
        <v>0.34166666666666662</v>
      </c>
      <c r="AH21" s="86">
        <v>4.2</v>
      </c>
      <c r="AJ21" s="38">
        <v>43727</v>
      </c>
      <c r="AK21" s="38">
        <v>43728</v>
      </c>
      <c r="AL21" s="64">
        <v>0.3125</v>
      </c>
      <c r="AM21" s="95">
        <v>4.4000000000000004</v>
      </c>
      <c r="AO21" s="38">
        <v>43757</v>
      </c>
      <c r="AP21" s="38">
        <v>43758</v>
      </c>
      <c r="AQ21" s="64">
        <v>0.3125</v>
      </c>
      <c r="AR21" s="100">
        <v>0</v>
      </c>
      <c r="AT21" s="38">
        <v>43788</v>
      </c>
      <c r="AU21" s="38">
        <v>43789</v>
      </c>
      <c r="AV21" s="64">
        <v>0.3125</v>
      </c>
      <c r="AW21" s="103">
        <v>0</v>
      </c>
      <c r="AZ21" s="38">
        <v>43818</v>
      </c>
      <c r="BA21" s="38">
        <v>43819</v>
      </c>
      <c r="BB21" s="64">
        <v>0.3125</v>
      </c>
      <c r="BC21" s="106">
        <v>0</v>
      </c>
    </row>
    <row r="22" spans="1:55" x14ac:dyDescent="0.25">
      <c r="A22" s="38">
        <v>43524</v>
      </c>
      <c r="B22" s="38">
        <v>43525</v>
      </c>
      <c r="C22" s="36">
        <v>0.375</v>
      </c>
      <c r="D22" s="3">
        <v>0</v>
      </c>
      <c r="F22" s="38">
        <v>43544</v>
      </c>
      <c r="G22" s="38">
        <v>43545</v>
      </c>
      <c r="H22" s="19">
        <v>0.45833333333333331</v>
      </c>
      <c r="I22" s="3">
        <v>0</v>
      </c>
      <c r="K22" s="38">
        <v>43575</v>
      </c>
      <c r="L22" s="38">
        <v>43576</v>
      </c>
      <c r="M22" s="49">
        <v>0.31458333333333333</v>
      </c>
      <c r="N22" s="3">
        <v>81.5</v>
      </c>
      <c r="P22" s="38">
        <v>43605</v>
      </c>
      <c r="Q22" s="38">
        <v>43606</v>
      </c>
      <c r="R22" s="54">
        <v>0.45833333333333331</v>
      </c>
      <c r="S22" s="41">
        <v>0</v>
      </c>
      <c r="U22" s="38">
        <v>43636</v>
      </c>
      <c r="V22" s="38">
        <v>43637</v>
      </c>
      <c r="W22" s="64">
        <v>0.3263888888888889</v>
      </c>
      <c r="X22" s="41">
        <v>7.5</v>
      </c>
      <c r="Z22" s="38">
        <v>43666</v>
      </c>
      <c r="AA22" s="38">
        <v>43667</v>
      </c>
      <c r="AB22" s="64">
        <v>0.45833333333333331</v>
      </c>
      <c r="AC22" s="41">
        <v>0</v>
      </c>
      <c r="AE22" s="38">
        <v>43697</v>
      </c>
      <c r="AF22" s="38">
        <v>43698</v>
      </c>
      <c r="AG22" s="64">
        <v>0.36388888888888887</v>
      </c>
      <c r="AH22" s="86">
        <v>3.4</v>
      </c>
      <c r="AJ22" s="38">
        <v>43728</v>
      </c>
      <c r="AK22" s="38">
        <v>43729</v>
      </c>
      <c r="AL22" s="64">
        <v>0.3125</v>
      </c>
      <c r="AM22" s="95">
        <v>2.6</v>
      </c>
      <c r="AO22" s="38">
        <v>43758</v>
      </c>
      <c r="AP22" s="38">
        <v>43759</v>
      </c>
      <c r="AQ22" s="64">
        <v>0.3125</v>
      </c>
      <c r="AR22" s="100">
        <v>0</v>
      </c>
      <c r="AT22" s="38">
        <v>43789</v>
      </c>
      <c r="AU22" s="38">
        <v>43790</v>
      </c>
      <c r="AV22" s="64">
        <v>0.3125</v>
      </c>
      <c r="AW22" s="103">
        <v>0</v>
      </c>
      <c r="AZ22" s="38">
        <v>43819</v>
      </c>
      <c r="BA22" s="38">
        <v>43820</v>
      </c>
      <c r="BB22" s="64">
        <v>0.3125</v>
      </c>
      <c r="BC22" s="106">
        <v>0</v>
      </c>
    </row>
    <row r="23" spans="1:55" x14ac:dyDescent="0.25">
      <c r="A23" s="27"/>
      <c r="B23" s="124" t="s">
        <v>48</v>
      </c>
      <c r="C23" s="124"/>
      <c r="D23" s="69">
        <f>SUM(D3:D22)</f>
        <v>0</v>
      </c>
      <c r="F23" s="38">
        <v>43545</v>
      </c>
      <c r="G23" s="38">
        <v>43546</v>
      </c>
      <c r="H23" s="19">
        <v>0.45833333333333331</v>
      </c>
      <c r="I23" s="3">
        <v>0</v>
      </c>
      <c r="K23" s="38">
        <v>43576</v>
      </c>
      <c r="L23" s="38">
        <v>43577</v>
      </c>
      <c r="M23" s="54">
        <v>0.45833333333333331</v>
      </c>
      <c r="N23" s="3">
        <v>0</v>
      </c>
      <c r="P23" s="38">
        <v>43606</v>
      </c>
      <c r="Q23" s="38">
        <v>43607</v>
      </c>
      <c r="R23" s="54">
        <v>0.33194444444444443</v>
      </c>
      <c r="S23" s="41">
        <v>32.5</v>
      </c>
      <c r="U23" s="38">
        <v>43637</v>
      </c>
      <c r="V23" s="38">
        <v>43638</v>
      </c>
      <c r="W23" s="64">
        <v>0.45833333333333331</v>
      </c>
      <c r="X23" s="41">
        <v>0</v>
      </c>
      <c r="Z23" s="38">
        <v>43667</v>
      </c>
      <c r="AA23" s="38">
        <v>43668</v>
      </c>
      <c r="AB23" s="64">
        <v>0.28819444444444448</v>
      </c>
      <c r="AC23" s="41">
        <v>70</v>
      </c>
      <c r="AE23" s="38">
        <v>43698</v>
      </c>
      <c r="AF23" s="38">
        <v>43699</v>
      </c>
      <c r="AG23" s="64">
        <v>0.45833333333333331</v>
      </c>
      <c r="AH23" s="86">
        <v>0</v>
      </c>
      <c r="AJ23" s="38">
        <v>43729</v>
      </c>
      <c r="AK23" s="38">
        <v>43730</v>
      </c>
      <c r="AL23" s="64">
        <v>0.3125</v>
      </c>
      <c r="AM23" s="95">
        <v>0</v>
      </c>
      <c r="AO23" s="38">
        <v>43759</v>
      </c>
      <c r="AP23" s="38">
        <v>43760</v>
      </c>
      <c r="AQ23" s="64">
        <v>0.3125</v>
      </c>
      <c r="AR23" s="100">
        <v>21.1</v>
      </c>
      <c r="AT23" s="38">
        <v>43790</v>
      </c>
      <c r="AU23" s="38">
        <v>43791</v>
      </c>
      <c r="AV23" s="64">
        <v>0.3125</v>
      </c>
      <c r="AW23" s="103">
        <v>0</v>
      </c>
      <c r="AZ23" s="38">
        <v>43820</v>
      </c>
      <c r="BA23" s="38">
        <v>43821</v>
      </c>
      <c r="BB23" s="64">
        <v>0.3125</v>
      </c>
      <c r="BC23" s="106">
        <v>0</v>
      </c>
    </row>
    <row r="24" spans="1:55" x14ac:dyDescent="0.25">
      <c r="A24" s="27"/>
      <c r="B24" s="27"/>
      <c r="C24" s="28"/>
      <c r="D24" s="29"/>
      <c r="F24" s="38">
        <v>43546</v>
      </c>
      <c r="G24" s="38">
        <v>43547</v>
      </c>
      <c r="H24" s="19">
        <v>0.45833333333333331</v>
      </c>
      <c r="I24" s="3">
        <v>0</v>
      </c>
      <c r="K24" s="38">
        <v>43577</v>
      </c>
      <c r="L24" s="38">
        <v>43578</v>
      </c>
      <c r="M24" s="56">
        <v>0.45833333333333331</v>
      </c>
      <c r="N24" s="3">
        <v>0</v>
      </c>
      <c r="P24" s="38">
        <v>43607</v>
      </c>
      <c r="Q24" s="38">
        <v>43608</v>
      </c>
      <c r="R24" s="64">
        <v>0.45833333333333331</v>
      </c>
      <c r="S24" s="41">
        <v>0</v>
      </c>
      <c r="U24" s="38">
        <v>43638</v>
      </c>
      <c r="V24" s="38">
        <v>43639</v>
      </c>
      <c r="W24" s="64">
        <v>0.32222222222222224</v>
      </c>
      <c r="X24" s="41">
        <v>14</v>
      </c>
      <c r="Z24" s="38">
        <v>43668</v>
      </c>
      <c r="AA24" s="38">
        <v>43669</v>
      </c>
      <c r="AB24" s="64">
        <v>0.45833333333333331</v>
      </c>
      <c r="AC24" s="82">
        <v>0</v>
      </c>
      <c r="AE24" s="38">
        <v>43699</v>
      </c>
      <c r="AF24" s="38">
        <v>43700</v>
      </c>
      <c r="AG24" s="64">
        <v>0.45833333333333331</v>
      </c>
      <c r="AH24" s="86">
        <v>0</v>
      </c>
      <c r="AJ24" s="38">
        <v>43730</v>
      </c>
      <c r="AK24" s="38">
        <v>43731</v>
      </c>
      <c r="AL24" s="64">
        <v>0.3125</v>
      </c>
      <c r="AM24" s="95">
        <v>0</v>
      </c>
      <c r="AO24" s="38">
        <v>43760</v>
      </c>
      <c r="AP24" s="38">
        <v>43761</v>
      </c>
      <c r="AQ24" s="64">
        <v>0.3125</v>
      </c>
      <c r="AR24" s="100">
        <v>0</v>
      </c>
      <c r="AT24" s="38">
        <v>43791</v>
      </c>
      <c r="AU24" s="38">
        <v>43792</v>
      </c>
      <c r="AV24" s="64">
        <v>0.3125</v>
      </c>
      <c r="AW24" s="103">
        <v>0</v>
      </c>
      <c r="AZ24" s="38">
        <v>43821</v>
      </c>
      <c r="BA24" s="38">
        <v>43822</v>
      </c>
      <c r="BB24" s="64">
        <v>0.3125</v>
      </c>
      <c r="BC24" s="106">
        <v>0</v>
      </c>
    </row>
    <row r="25" spans="1:55" x14ac:dyDescent="0.25">
      <c r="A25" s="27"/>
      <c r="B25" s="27"/>
      <c r="C25" s="28"/>
      <c r="D25" s="29"/>
      <c r="F25" s="38">
        <v>43547</v>
      </c>
      <c r="G25" s="38">
        <v>43548</v>
      </c>
      <c r="H25" s="19">
        <v>0.45833333333333331</v>
      </c>
      <c r="I25" s="3">
        <v>0</v>
      </c>
      <c r="K25" s="38">
        <v>43578</v>
      </c>
      <c r="L25" s="38">
        <v>43579</v>
      </c>
      <c r="M25" s="60">
        <v>0.45833333333333331</v>
      </c>
      <c r="N25" s="3">
        <v>0</v>
      </c>
      <c r="P25" s="38">
        <v>43608</v>
      </c>
      <c r="Q25" s="38">
        <v>43609</v>
      </c>
      <c r="R25" s="64">
        <v>0.45833333333333331</v>
      </c>
      <c r="S25" s="41">
        <v>0</v>
      </c>
      <c r="U25" s="38">
        <v>43639</v>
      </c>
      <c r="V25" s="38">
        <v>43640</v>
      </c>
      <c r="W25" s="64">
        <v>0.45833333333333331</v>
      </c>
      <c r="X25" s="41">
        <v>0</v>
      </c>
      <c r="Z25" s="38">
        <v>43669</v>
      </c>
      <c r="AA25" s="38">
        <v>43670</v>
      </c>
      <c r="AB25" s="64">
        <v>0.45833333333333331</v>
      </c>
      <c r="AC25" s="82">
        <v>0</v>
      </c>
      <c r="AE25" s="38">
        <v>43700</v>
      </c>
      <c r="AF25" s="38">
        <v>43701</v>
      </c>
      <c r="AG25" s="64">
        <v>0.32569444444444445</v>
      </c>
      <c r="AH25" s="86">
        <v>54</v>
      </c>
      <c r="AJ25" s="38">
        <v>43731</v>
      </c>
      <c r="AK25" s="38">
        <v>43732</v>
      </c>
      <c r="AL25" s="64">
        <v>0.3125</v>
      </c>
      <c r="AM25" s="95">
        <v>6</v>
      </c>
      <c r="AO25" s="38">
        <v>43761</v>
      </c>
      <c r="AP25" s="38">
        <v>43762</v>
      </c>
      <c r="AQ25" s="64">
        <v>0.3125</v>
      </c>
      <c r="AR25" s="100">
        <v>0</v>
      </c>
      <c r="AT25" s="38">
        <v>43792</v>
      </c>
      <c r="AU25" s="38">
        <v>43793</v>
      </c>
      <c r="AV25" s="64">
        <v>0.3125</v>
      </c>
      <c r="AW25" s="103">
        <v>0</v>
      </c>
      <c r="AZ25" s="38">
        <v>43822</v>
      </c>
      <c r="BA25" s="38">
        <v>43823</v>
      </c>
      <c r="BB25" s="64">
        <v>0.3125</v>
      </c>
      <c r="BC25" s="106">
        <v>0</v>
      </c>
    </row>
    <row r="26" spans="1:55" x14ac:dyDescent="0.25">
      <c r="A26" s="27"/>
      <c r="B26" s="27"/>
      <c r="C26" s="28"/>
      <c r="D26" s="29"/>
      <c r="F26" s="38">
        <v>43548</v>
      </c>
      <c r="G26" s="38">
        <v>43549</v>
      </c>
      <c r="H26" s="19">
        <v>0.45833333333333331</v>
      </c>
      <c r="I26" s="3">
        <v>0</v>
      </c>
      <c r="K26" s="38">
        <v>43579</v>
      </c>
      <c r="L26" s="38">
        <v>43580</v>
      </c>
      <c r="M26" s="60">
        <v>0.45833333333333331</v>
      </c>
      <c r="N26" s="3">
        <v>0</v>
      </c>
      <c r="P26" s="38">
        <v>43609</v>
      </c>
      <c r="Q26" s="38">
        <v>43610</v>
      </c>
      <c r="R26" s="64">
        <v>0.33124999999999999</v>
      </c>
      <c r="S26" s="41">
        <v>48</v>
      </c>
      <c r="U26" s="38">
        <v>43640</v>
      </c>
      <c r="V26" s="38">
        <v>43641</v>
      </c>
      <c r="W26" s="64">
        <v>0.31944444444444448</v>
      </c>
      <c r="X26" s="41">
        <v>28</v>
      </c>
      <c r="Z26" s="38">
        <v>43670</v>
      </c>
      <c r="AA26" s="38">
        <v>43671</v>
      </c>
      <c r="AB26" s="64">
        <v>0.59166666666666667</v>
      </c>
      <c r="AC26" s="41">
        <v>6.5</v>
      </c>
      <c r="AE26" s="38">
        <v>43701</v>
      </c>
      <c r="AF26" s="38">
        <v>43702</v>
      </c>
      <c r="AG26" s="64">
        <v>0.3263888888888889</v>
      </c>
      <c r="AH26" s="86">
        <v>4</v>
      </c>
      <c r="AJ26" s="38">
        <v>43732</v>
      </c>
      <c r="AK26" s="38">
        <v>43733</v>
      </c>
      <c r="AL26" s="64">
        <v>0.3125</v>
      </c>
      <c r="AM26" s="95">
        <v>19</v>
      </c>
      <c r="AO26" s="38">
        <v>43762</v>
      </c>
      <c r="AP26" s="38">
        <v>43763</v>
      </c>
      <c r="AQ26" s="64">
        <v>0.3125</v>
      </c>
      <c r="AR26" s="100">
        <v>0</v>
      </c>
      <c r="AT26" s="38">
        <v>43793</v>
      </c>
      <c r="AU26" s="38">
        <v>43794</v>
      </c>
      <c r="AV26" s="64">
        <v>0.3125</v>
      </c>
      <c r="AW26" s="103">
        <v>0</v>
      </c>
      <c r="AZ26" s="38">
        <v>43823</v>
      </c>
      <c r="BA26" s="38">
        <v>43824</v>
      </c>
      <c r="BB26" s="64">
        <v>0.3125</v>
      </c>
      <c r="BC26" s="106">
        <v>0</v>
      </c>
    </row>
    <row r="27" spans="1:55" x14ac:dyDescent="0.25">
      <c r="A27" s="27"/>
      <c r="B27" s="27"/>
      <c r="C27" s="28"/>
      <c r="D27" s="29"/>
      <c r="F27" s="38">
        <v>43549</v>
      </c>
      <c r="G27" s="38">
        <v>43550</v>
      </c>
      <c r="H27" s="19">
        <v>0.45833333333333331</v>
      </c>
      <c r="I27" s="3">
        <v>0</v>
      </c>
      <c r="K27" s="38">
        <v>43580</v>
      </c>
      <c r="L27" s="38">
        <v>43581</v>
      </c>
      <c r="M27" s="60">
        <v>0.45833333333333331</v>
      </c>
      <c r="N27" s="3">
        <v>0</v>
      </c>
      <c r="P27" s="38">
        <v>43610</v>
      </c>
      <c r="Q27" s="38">
        <v>43611</v>
      </c>
      <c r="R27" s="41">
        <v>0</v>
      </c>
      <c r="S27" s="41">
        <v>0</v>
      </c>
      <c r="U27" s="38">
        <v>43641</v>
      </c>
      <c r="V27" s="38">
        <v>43642</v>
      </c>
      <c r="W27" s="64">
        <v>0.45833333333333331</v>
      </c>
      <c r="X27" s="41">
        <v>0</v>
      </c>
      <c r="Z27" s="38">
        <v>43671</v>
      </c>
      <c r="AA27" s="38">
        <v>43672</v>
      </c>
      <c r="AB27" s="64">
        <v>0.45833333333333331</v>
      </c>
      <c r="AC27" s="82">
        <v>0</v>
      </c>
      <c r="AE27" s="38">
        <v>43702</v>
      </c>
      <c r="AF27" s="38">
        <v>43703</v>
      </c>
      <c r="AG27" s="64">
        <v>0.33124999999999999</v>
      </c>
      <c r="AH27" s="86">
        <v>14.5</v>
      </c>
      <c r="AJ27" s="38">
        <v>43733</v>
      </c>
      <c r="AK27" s="38">
        <v>43734</v>
      </c>
      <c r="AL27" s="64">
        <v>0.3125</v>
      </c>
      <c r="AM27" s="95">
        <v>0</v>
      </c>
      <c r="AO27" s="38">
        <v>43763</v>
      </c>
      <c r="AP27" s="38">
        <v>43764</v>
      </c>
      <c r="AQ27" s="64">
        <v>0.3125</v>
      </c>
      <c r="AR27" s="100">
        <v>0</v>
      </c>
      <c r="AT27" s="38">
        <v>43794</v>
      </c>
      <c r="AU27" s="38">
        <v>43795</v>
      </c>
      <c r="AV27" s="64">
        <v>0.3125</v>
      </c>
      <c r="AW27" s="103">
        <v>0</v>
      </c>
      <c r="AZ27" s="38">
        <v>43824</v>
      </c>
      <c r="BA27" s="38">
        <v>43825</v>
      </c>
      <c r="BB27" s="64">
        <v>0.3125</v>
      </c>
      <c r="BC27" s="106">
        <v>0</v>
      </c>
    </row>
    <row r="28" spans="1:55" x14ac:dyDescent="0.25">
      <c r="A28" s="27"/>
      <c r="B28" s="27"/>
      <c r="C28" s="28"/>
      <c r="D28" s="29"/>
      <c r="F28" s="38">
        <v>43550</v>
      </c>
      <c r="G28" s="38">
        <v>43551</v>
      </c>
      <c r="H28" s="19">
        <v>0.34236111111111112</v>
      </c>
      <c r="I28" s="3">
        <v>11.4</v>
      </c>
      <c r="K28" s="38">
        <v>43581</v>
      </c>
      <c r="L28" s="38">
        <v>43582</v>
      </c>
      <c r="M28" s="60">
        <v>0.45833333333333331</v>
      </c>
      <c r="N28" s="3">
        <v>0</v>
      </c>
      <c r="P28" s="38">
        <v>43611</v>
      </c>
      <c r="Q28" s="38">
        <v>43612</v>
      </c>
      <c r="R28" s="41">
        <v>0</v>
      </c>
      <c r="S28" s="41">
        <v>0</v>
      </c>
      <c r="U28" s="38">
        <v>43642</v>
      </c>
      <c r="V28" s="38">
        <v>43643</v>
      </c>
      <c r="W28" s="64">
        <v>0.45833333333333331</v>
      </c>
      <c r="X28" s="41">
        <v>0</v>
      </c>
      <c r="Z28" s="38">
        <v>43672</v>
      </c>
      <c r="AA28" s="38">
        <v>43673</v>
      </c>
      <c r="AB28" s="64">
        <v>0.45833333333333331</v>
      </c>
      <c r="AC28" s="82">
        <v>0</v>
      </c>
      <c r="AE28" s="38">
        <v>43703</v>
      </c>
      <c r="AF28" s="38">
        <v>43704</v>
      </c>
      <c r="AG28" s="64">
        <v>0.34236111111111112</v>
      </c>
      <c r="AH28" s="86">
        <v>3.5</v>
      </c>
      <c r="AJ28" s="38">
        <v>43734</v>
      </c>
      <c r="AK28" s="38">
        <v>43735</v>
      </c>
      <c r="AL28" s="64">
        <v>0.3125</v>
      </c>
      <c r="AM28" s="95">
        <v>0</v>
      </c>
      <c r="AO28" s="38">
        <v>43764</v>
      </c>
      <c r="AP28" s="38">
        <v>43765</v>
      </c>
      <c r="AQ28" s="64">
        <v>0.3125</v>
      </c>
      <c r="AR28" s="100">
        <v>0</v>
      </c>
      <c r="AT28" s="38">
        <v>43795</v>
      </c>
      <c r="AU28" s="38">
        <v>43796</v>
      </c>
      <c r="AV28" s="64">
        <v>0.3125</v>
      </c>
      <c r="AW28" s="103">
        <v>0</v>
      </c>
      <c r="AZ28" s="38">
        <v>43825</v>
      </c>
      <c r="BA28" s="38">
        <v>43826</v>
      </c>
      <c r="BB28" s="64">
        <v>0.3125</v>
      </c>
      <c r="BC28" s="106">
        <v>0</v>
      </c>
    </row>
    <row r="29" spans="1:55" x14ac:dyDescent="0.25">
      <c r="A29" s="27"/>
      <c r="B29" s="27"/>
      <c r="C29" s="28"/>
      <c r="D29" s="29"/>
      <c r="F29" s="38">
        <v>43551</v>
      </c>
      <c r="G29" s="38">
        <v>43552</v>
      </c>
      <c r="H29" s="19">
        <v>0.45833333333333331</v>
      </c>
      <c r="I29" s="3">
        <v>0</v>
      </c>
      <c r="K29" s="38">
        <v>43582</v>
      </c>
      <c r="L29" s="38">
        <v>43583</v>
      </c>
      <c r="M29" s="60">
        <v>0.45833333333333331</v>
      </c>
      <c r="N29" s="3">
        <v>0</v>
      </c>
      <c r="P29" s="38">
        <v>43612</v>
      </c>
      <c r="Q29" s="38">
        <v>43613</v>
      </c>
      <c r="R29" s="64">
        <v>0.3298611111111111</v>
      </c>
      <c r="S29" s="41">
        <v>17</v>
      </c>
      <c r="U29" s="38">
        <v>43643</v>
      </c>
      <c r="V29" s="38">
        <v>43644</v>
      </c>
      <c r="W29" s="64">
        <v>0.45833333333333331</v>
      </c>
      <c r="X29" s="41">
        <v>0</v>
      </c>
      <c r="Z29" s="38">
        <v>43673</v>
      </c>
      <c r="AA29" s="38">
        <v>43674</v>
      </c>
      <c r="AB29" s="64">
        <v>0.3125</v>
      </c>
      <c r="AC29" s="41">
        <v>11.5</v>
      </c>
      <c r="AE29" s="38">
        <v>43704</v>
      </c>
      <c r="AF29" s="38">
        <v>43705</v>
      </c>
      <c r="AG29" s="64">
        <v>0.45833333333333331</v>
      </c>
      <c r="AH29" s="86">
        <v>0</v>
      </c>
      <c r="AJ29" s="38">
        <v>43735</v>
      </c>
      <c r="AK29" s="38">
        <v>43736</v>
      </c>
      <c r="AL29" s="64">
        <v>0.3125</v>
      </c>
      <c r="AM29" s="95">
        <v>1.5</v>
      </c>
      <c r="AO29" s="38">
        <v>43765</v>
      </c>
      <c r="AP29" s="38">
        <v>43766</v>
      </c>
      <c r="AQ29" s="64">
        <v>0.3125</v>
      </c>
      <c r="AR29" s="100">
        <v>0</v>
      </c>
      <c r="AT29" s="38">
        <v>43796</v>
      </c>
      <c r="AU29" s="38">
        <v>43797</v>
      </c>
      <c r="AV29" s="64">
        <v>0.3125</v>
      </c>
      <c r="AW29" s="103">
        <v>0</v>
      </c>
      <c r="AZ29" s="38">
        <v>43826</v>
      </c>
      <c r="BA29" s="38">
        <v>43827</v>
      </c>
      <c r="BB29" s="64">
        <v>0.3125</v>
      </c>
      <c r="BC29" s="106"/>
    </row>
    <row r="30" spans="1:55" x14ac:dyDescent="0.25">
      <c r="A30" s="27"/>
      <c r="B30" s="27"/>
      <c r="C30" s="28"/>
      <c r="D30" s="29"/>
      <c r="F30" s="38">
        <v>43552</v>
      </c>
      <c r="G30" s="38">
        <v>43553</v>
      </c>
      <c r="H30" s="19">
        <v>0.45833333333333331</v>
      </c>
      <c r="I30" s="3">
        <v>0</v>
      </c>
      <c r="K30" s="38">
        <v>43583</v>
      </c>
      <c r="L30" s="38">
        <v>43584</v>
      </c>
      <c r="M30" s="62">
        <v>0.33402777777777781</v>
      </c>
      <c r="N30" s="41">
        <v>28</v>
      </c>
      <c r="P30" s="38">
        <v>43613</v>
      </c>
      <c r="Q30" s="38">
        <v>43614</v>
      </c>
      <c r="R30" s="64">
        <v>0.45833333333333331</v>
      </c>
      <c r="S30" s="41">
        <v>0</v>
      </c>
      <c r="U30" s="38">
        <v>43644</v>
      </c>
      <c r="V30" s="38">
        <v>43645</v>
      </c>
      <c r="W30" s="43">
        <v>0.45833333333333331</v>
      </c>
      <c r="X30" s="41">
        <v>0</v>
      </c>
      <c r="Z30" s="38">
        <v>43674</v>
      </c>
      <c r="AA30" s="38">
        <v>43675</v>
      </c>
      <c r="AB30" s="64">
        <v>0.45833333333333331</v>
      </c>
      <c r="AC30" s="82">
        <v>0</v>
      </c>
      <c r="AE30" s="38">
        <v>43705</v>
      </c>
      <c r="AF30" s="38">
        <v>43706</v>
      </c>
      <c r="AG30" s="64">
        <v>0.72916666666666663</v>
      </c>
      <c r="AH30" s="92">
        <v>11</v>
      </c>
      <c r="AJ30" s="38">
        <v>43736</v>
      </c>
      <c r="AK30" s="38">
        <v>43737</v>
      </c>
      <c r="AL30" s="64">
        <v>0.3125</v>
      </c>
      <c r="AM30" s="95">
        <v>0</v>
      </c>
      <c r="AO30" s="38">
        <v>43766</v>
      </c>
      <c r="AP30" s="38">
        <v>43767</v>
      </c>
      <c r="AQ30" s="64">
        <v>0.3125</v>
      </c>
      <c r="AR30" s="100">
        <v>0</v>
      </c>
      <c r="AT30" s="38">
        <v>43797</v>
      </c>
      <c r="AU30" s="38">
        <v>43798</v>
      </c>
      <c r="AV30" s="64">
        <v>0.3125</v>
      </c>
      <c r="AW30" s="103">
        <v>0</v>
      </c>
      <c r="AZ30" s="38">
        <v>43827</v>
      </c>
      <c r="BA30" s="38">
        <v>43828</v>
      </c>
      <c r="BB30" s="64">
        <v>0.3125</v>
      </c>
      <c r="BC30" s="106"/>
    </row>
    <row r="31" spans="1:55" x14ac:dyDescent="0.25">
      <c r="A31" s="27"/>
      <c r="B31" s="27"/>
      <c r="C31" s="28"/>
      <c r="D31" s="29"/>
      <c r="F31" s="38">
        <v>43553</v>
      </c>
      <c r="G31" s="38">
        <v>43554</v>
      </c>
      <c r="H31" s="19">
        <v>0.45833333333333331</v>
      </c>
      <c r="I31" s="3">
        <v>0</v>
      </c>
      <c r="K31" s="38">
        <v>43584</v>
      </c>
      <c r="L31" s="38">
        <v>43585</v>
      </c>
      <c r="M31" s="66">
        <v>0.45833333333333331</v>
      </c>
      <c r="N31" s="24">
        <v>0</v>
      </c>
      <c r="P31" s="38">
        <v>43614</v>
      </c>
      <c r="Q31" s="38">
        <v>43615</v>
      </c>
      <c r="R31" s="64">
        <v>0.45833333333333331</v>
      </c>
      <c r="S31" s="41">
        <v>0</v>
      </c>
      <c r="U31" s="38">
        <v>43645</v>
      </c>
      <c r="V31" s="38">
        <v>43646</v>
      </c>
      <c r="W31" s="77">
        <v>0.45833333333333331</v>
      </c>
      <c r="X31" s="41">
        <v>0</v>
      </c>
      <c r="Z31" s="38">
        <v>43675</v>
      </c>
      <c r="AA31" s="38">
        <v>43676</v>
      </c>
      <c r="AB31" s="64">
        <v>0.45833333333333331</v>
      </c>
      <c r="AC31" s="82">
        <v>0</v>
      </c>
      <c r="AE31" s="38">
        <v>43706</v>
      </c>
      <c r="AF31" s="38">
        <v>43707</v>
      </c>
      <c r="AG31" s="64">
        <v>0.4375</v>
      </c>
      <c r="AH31" s="92">
        <v>2.5</v>
      </c>
      <c r="AJ31" s="38">
        <v>43737</v>
      </c>
      <c r="AK31" s="38">
        <v>43738</v>
      </c>
      <c r="AL31" s="64">
        <v>0.3125</v>
      </c>
      <c r="AM31" s="95">
        <v>0</v>
      </c>
      <c r="AO31" s="38">
        <v>43767</v>
      </c>
      <c r="AP31" s="38">
        <v>43768</v>
      </c>
      <c r="AQ31" s="64">
        <v>0.3125</v>
      </c>
      <c r="AR31" s="100">
        <v>0</v>
      </c>
      <c r="AT31" s="38">
        <v>43798</v>
      </c>
      <c r="AU31" s="38">
        <v>43799</v>
      </c>
      <c r="AV31" s="64">
        <v>0.3125</v>
      </c>
      <c r="AW31" s="103">
        <v>0</v>
      </c>
      <c r="AZ31" s="38">
        <v>43828</v>
      </c>
      <c r="BA31" s="38">
        <v>43829</v>
      </c>
      <c r="BB31" s="64">
        <v>0.3125</v>
      </c>
      <c r="BC31" s="106"/>
    </row>
    <row r="32" spans="1:55" x14ac:dyDescent="0.25">
      <c r="A32" s="27"/>
      <c r="B32" s="27"/>
      <c r="C32" s="28"/>
      <c r="D32" s="29"/>
      <c r="F32" s="38">
        <v>43554</v>
      </c>
      <c r="G32" s="38">
        <v>43555</v>
      </c>
      <c r="H32" s="19">
        <v>0.45833333333333331</v>
      </c>
      <c r="I32" s="3">
        <v>65</v>
      </c>
      <c r="K32" s="38">
        <v>43585</v>
      </c>
      <c r="L32" s="38">
        <v>43586</v>
      </c>
      <c r="M32" s="64">
        <v>0.45833333333333331</v>
      </c>
      <c r="N32" s="3">
        <v>0</v>
      </c>
      <c r="P32" s="38">
        <v>43615</v>
      </c>
      <c r="Q32" s="38">
        <v>43616</v>
      </c>
      <c r="R32" s="64">
        <v>0.3354166666666667</v>
      </c>
      <c r="S32" s="41">
        <v>26.8</v>
      </c>
      <c r="U32" s="38">
        <v>43646</v>
      </c>
      <c r="V32" s="38">
        <v>43647</v>
      </c>
      <c r="W32" s="43">
        <v>0.45833333333333331</v>
      </c>
      <c r="X32" s="41">
        <v>2.5</v>
      </c>
      <c r="Z32" s="38">
        <v>43676</v>
      </c>
      <c r="AA32" s="38">
        <v>43677</v>
      </c>
      <c r="AB32" s="43">
        <v>0.3125</v>
      </c>
      <c r="AC32" s="41">
        <v>43</v>
      </c>
      <c r="AE32" s="38">
        <v>43707</v>
      </c>
      <c r="AF32" s="38">
        <v>43708</v>
      </c>
      <c r="AG32" s="64">
        <v>0.45833333333333331</v>
      </c>
      <c r="AH32" s="92">
        <v>0</v>
      </c>
      <c r="AJ32" s="38">
        <v>43738</v>
      </c>
      <c r="AK32" s="38">
        <v>43739</v>
      </c>
      <c r="AL32" s="64">
        <v>0.3125</v>
      </c>
      <c r="AM32" s="95">
        <v>40</v>
      </c>
      <c r="AO32" s="38">
        <v>43768</v>
      </c>
      <c r="AP32" s="38">
        <v>43769</v>
      </c>
      <c r="AQ32" s="64">
        <v>0.3125</v>
      </c>
      <c r="AR32" s="100">
        <v>0</v>
      </c>
      <c r="AT32" s="38">
        <v>43799</v>
      </c>
      <c r="AU32" s="38">
        <v>43800</v>
      </c>
      <c r="AV32" s="64">
        <v>0.3125</v>
      </c>
      <c r="AW32" s="103">
        <v>0</v>
      </c>
      <c r="AZ32" s="38">
        <v>43829</v>
      </c>
      <c r="BA32" s="38">
        <v>43830</v>
      </c>
      <c r="BB32" s="64">
        <v>0.3125</v>
      </c>
      <c r="BC32" s="106"/>
    </row>
    <row r="33" spans="1:55" x14ac:dyDescent="0.25">
      <c r="A33" s="27"/>
      <c r="B33" s="27"/>
      <c r="C33" s="28"/>
      <c r="D33" s="29"/>
      <c r="F33" s="38">
        <v>43555</v>
      </c>
      <c r="G33" s="38">
        <v>43556</v>
      </c>
      <c r="H33" s="47">
        <v>0.45833333333333331</v>
      </c>
      <c r="I33" s="25">
        <v>0</v>
      </c>
      <c r="K33" s="31"/>
      <c r="L33" s="125" t="s">
        <v>53</v>
      </c>
      <c r="M33" s="125"/>
      <c r="N33" s="69">
        <f>SUM(N3:N32)</f>
        <v>124</v>
      </c>
      <c r="P33" s="38">
        <v>43616</v>
      </c>
      <c r="Q33" s="38">
        <v>43617</v>
      </c>
      <c r="R33" s="64">
        <v>0.45833333333333331</v>
      </c>
      <c r="S33" s="41">
        <v>0</v>
      </c>
      <c r="U33" s="31"/>
      <c r="V33" s="125" t="s">
        <v>71</v>
      </c>
      <c r="W33" s="125"/>
      <c r="X33" s="69">
        <f>SUM(X3:X32)</f>
        <v>123.7</v>
      </c>
      <c r="Z33" s="38">
        <v>43677</v>
      </c>
      <c r="AA33" s="38">
        <v>43678</v>
      </c>
      <c r="AB33" s="64">
        <v>0.57986111111111105</v>
      </c>
      <c r="AC33" s="82">
        <v>27</v>
      </c>
      <c r="AE33" s="38">
        <v>43708</v>
      </c>
      <c r="AF33" s="38">
        <v>43709</v>
      </c>
      <c r="AG33" s="64">
        <v>0.34375</v>
      </c>
      <c r="AH33" s="86">
        <v>3</v>
      </c>
      <c r="AJ33" s="96"/>
      <c r="AK33" s="125" t="s">
        <v>77</v>
      </c>
      <c r="AL33" s="127"/>
      <c r="AM33" s="94">
        <f>SUM(AM3:AM32)</f>
        <v>295</v>
      </c>
      <c r="AO33" s="38">
        <v>43769</v>
      </c>
      <c r="AP33" s="38">
        <v>43770</v>
      </c>
      <c r="AQ33" s="64">
        <v>0.3125</v>
      </c>
      <c r="AR33" s="100">
        <v>5</v>
      </c>
      <c r="AU33" s="125" t="s">
        <v>80</v>
      </c>
      <c r="AV33" s="127"/>
      <c r="AW33" s="105">
        <f>SUM(AW3:AW32)</f>
        <v>7.5</v>
      </c>
      <c r="AZ33" s="38">
        <v>43830</v>
      </c>
      <c r="BA33" s="38">
        <v>43831</v>
      </c>
      <c r="BB33" s="64">
        <v>0.3125</v>
      </c>
      <c r="BC33" s="106"/>
    </row>
    <row r="34" spans="1:55" x14ac:dyDescent="0.25">
      <c r="A34" s="122"/>
      <c r="B34" s="122"/>
      <c r="C34" s="122"/>
      <c r="D34" s="30"/>
      <c r="G34" s="125" t="s">
        <v>49</v>
      </c>
      <c r="H34" s="125"/>
      <c r="I34" s="69">
        <f>SUM(I3:I33)</f>
        <v>80.099999999999994</v>
      </c>
      <c r="K34" s="123"/>
      <c r="L34" s="123"/>
      <c r="M34" s="123"/>
      <c r="N34" s="30"/>
      <c r="P34" s="31"/>
      <c r="Q34" s="126" t="s">
        <v>58</v>
      </c>
      <c r="R34" s="126"/>
      <c r="S34" s="72">
        <f>SUM(S3:S33)</f>
        <v>173.70000000000002</v>
      </c>
      <c r="AA34" s="125" t="s">
        <v>70</v>
      </c>
      <c r="AB34" s="127"/>
      <c r="AC34" s="80">
        <f>SUM(AC3:AC33)</f>
        <v>246.5</v>
      </c>
      <c r="AF34" s="125" t="s">
        <v>74</v>
      </c>
      <c r="AG34" s="127"/>
      <c r="AH34" s="85">
        <f>SUM(AH3:AH33)</f>
        <v>169.10000000000002</v>
      </c>
      <c r="AP34" s="125" t="s">
        <v>80</v>
      </c>
      <c r="AQ34" s="127"/>
      <c r="AR34" s="101">
        <f>SUM(AR3:AR33)</f>
        <v>76.599999999999994</v>
      </c>
      <c r="BA34" s="125" t="s">
        <v>83</v>
      </c>
      <c r="BB34" s="127"/>
      <c r="BC34" s="105">
        <f>SUM(BC3:BC33)</f>
        <v>0</v>
      </c>
    </row>
    <row r="37" spans="1:55" x14ac:dyDescent="0.25">
      <c r="K37" s="12">
        <f>SUM(I34,N33,S34,X33,AC34,AH34,AM33,AR34,AW33,BC34)</f>
        <v>1296.1999999999998</v>
      </c>
    </row>
  </sheetData>
  <mergeCells count="24">
    <mergeCell ref="AZ1:BC1"/>
    <mergeCell ref="BA34:BB34"/>
    <mergeCell ref="AF34:AG34"/>
    <mergeCell ref="AA34:AB34"/>
    <mergeCell ref="Z1:AC1"/>
    <mergeCell ref="Q34:R34"/>
    <mergeCell ref="U1:X1"/>
    <mergeCell ref="V33:W33"/>
    <mergeCell ref="AT1:AW1"/>
    <mergeCell ref="AU33:AV33"/>
    <mergeCell ref="AO1:AR1"/>
    <mergeCell ref="AP34:AQ34"/>
    <mergeCell ref="AJ1:AM1"/>
    <mergeCell ref="AK33:AL33"/>
    <mergeCell ref="P1:S1"/>
    <mergeCell ref="AE1:AH1"/>
    <mergeCell ref="A34:C34"/>
    <mergeCell ref="K34:M34"/>
    <mergeCell ref="A1:D1"/>
    <mergeCell ref="F1:I1"/>
    <mergeCell ref="K1:N1"/>
    <mergeCell ref="B23:C23"/>
    <mergeCell ref="G34:H34"/>
    <mergeCell ref="L33:M3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7"/>
  <sheetViews>
    <sheetView topLeftCell="E19" workbookViewId="0">
      <selection activeCell="G37" sqref="G37"/>
    </sheetView>
  </sheetViews>
  <sheetFormatPr baseColWidth="10" defaultColWidth="11.42578125" defaultRowHeight="15" x14ac:dyDescent="0.25"/>
  <cols>
    <col min="1" max="1" width="16.140625" customWidth="1"/>
    <col min="2" max="2" width="16.140625" style="12" customWidth="1"/>
    <col min="3" max="4" width="16.28515625" customWidth="1"/>
    <col min="6" max="6" width="17" customWidth="1"/>
    <col min="7" max="7" width="17" style="12" customWidth="1"/>
    <col min="8" max="8" width="17" style="44" customWidth="1"/>
    <col min="9" max="9" width="16.42578125" customWidth="1"/>
    <col min="11" max="11" width="22.140625" customWidth="1"/>
    <col min="12" max="12" width="22.140625" style="12" customWidth="1"/>
    <col min="14" max="14" width="18.85546875" customWidth="1"/>
    <col min="16" max="16" width="17.28515625" customWidth="1"/>
    <col min="17" max="17" width="16.140625" customWidth="1"/>
    <col min="18" max="18" width="14.7109375" style="70" customWidth="1"/>
    <col min="19" max="19" width="16" style="70" customWidth="1"/>
    <col min="21" max="21" width="14.5703125" customWidth="1"/>
    <col min="22" max="22" width="15.140625" customWidth="1"/>
    <col min="23" max="23" width="13.42578125" customWidth="1"/>
    <col min="24" max="24" width="16" customWidth="1"/>
    <col min="25" max="25" width="10.140625" customWidth="1"/>
    <col min="26" max="26" width="15.7109375" customWidth="1"/>
    <col min="27" max="27" width="16.28515625" customWidth="1"/>
    <col min="28" max="28" width="14.85546875" customWidth="1"/>
    <col min="29" max="29" width="14.7109375" customWidth="1"/>
    <col min="31" max="31" width="13.140625" customWidth="1"/>
    <col min="32" max="32" width="14.42578125" customWidth="1"/>
    <col min="33" max="33" width="13" customWidth="1"/>
    <col min="34" max="34" width="15.85546875" customWidth="1"/>
    <col min="36" max="36" width="15.42578125" customWidth="1"/>
    <col min="37" max="37" width="14.5703125" customWidth="1"/>
    <col min="38" max="38" width="14.42578125" customWidth="1"/>
    <col min="39" max="39" width="20.140625" customWidth="1"/>
    <col min="41" max="41" width="16.28515625" customWidth="1"/>
    <col min="42" max="42" width="15.7109375" customWidth="1"/>
    <col min="44" max="44" width="15.42578125" customWidth="1"/>
    <col min="46" max="46" width="16.42578125" customWidth="1"/>
    <col min="47" max="47" width="16.7109375" customWidth="1"/>
    <col min="48" max="48" width="13.85546875" customWidth="1"/>
    <col min="49" max="49" width="20.140625" customWidth="1"/>
    <col min="51" max="51" width="15.5703125" customWidth="1"/>
    <col min="52" max="52" width="16.42578125" customWidth="1"/>
    <col min="54" max="54" width="15.7109375" customWidth="1"/>
  </cols>
  <sheetData>
    <row r="1" spans="1:54" x14ac:dyDescent="0.25">
      <c r="A1" s="112" t="s">
        <v>45</v>
      </c>
      <c r="B1" s="112"/>
      <c r="C1" s="112"/>
      <c r="D1" s="112"/>
      <c r="E1" s="12"/>
      <c r="F1" s="112" t="s">
        <v>42</v>
      </c>
      <c r="G1" s="112"/>
      <c r="H1" s="112"/>
      <c r="I1" s="112"/>
      <c r="J1" s="12"/>
      <c r="K1" s="112" t="s">
        <v>43</v>
      </c>
      <c r="L1" s="112"/>
      <c r="M1" s="112"/>
      <c r="N1" s="112"/>
      <c r="P1" s="112" t="s">
        <v>54</v>
      </c>
      <c r="Q1" s="112"/>
      <c r="R1" s="112"/>
      <c r="S1" s="112"/>
      <c r="U1" s="112" t="s">
        <v>64</v>
      </c>
      <c r="V1" s="112"/>
      <c r="W1" s="112"/>
      <c r="X1" s="112"/>
      <c r="Z1" s="112" t="s">
        <v>68</v>
      </c>
      <c r="AA1" s="112"/>
      <c r="AB1" s="112"/>
      <c r="AC1" s="112"/>
      <c r="AE1" s="112" t="s">
        <v>73</v>
      </c>
      <c r="AF1" s="112"/>
      <c r="AG1" s="112"/>
      <c r="AH1" s="112"/>
      <c r="AJ1" s="112" t="s">
        <v>76</v>
      </c>
      <c r="AK1" s="112"/>
      <c r="AL1" s="112"/>
      <c r="AM1" s="112"/>
      <c r="AO1" s="112" t="s">
        <v>79</v>
      </c>
      <c r="AP1" s="112"/>
      <c r="AQ1" s="112"/>
      <c r="AR1" s="112"/>
      <c r="AT1" s="112" t="s">
        <v>84</v>
      </c>
      <c r="AU1" s="112"/>
      <c r="AV1" s="112"/>
      <c r="AW1" s="112"/>
      <c r="AY1" s="112" t="s">
        <v>85</v>
      </c>
      <c r="AZ1" s="112"/>
      <c r="BA1" s="112"/>
      <c r="BB1" s="112"/>
    </row>
    <row r="2" spans="1:54" x14ac:dyDescent="0.25">
      <c r="A2" s="34" t="s">
        <v>50</v>
      </c>
      <c r="B2" s="37" t="s">
        <v>28</v>
      </c>
      <c r="C2" s="34" t="s">
        <v>29</v>
      </c>
      <c r="D2" s="34" t="s">
        <v>30</v>
      </c>
      <c r="E2" s="12"/>
      <c r="F2" s="34" t="s">
        <v>50</v>
      </c>
      <c r="G2" s="37" t="s">
        <v>44</v>
      </c>
      <c r="H2" s="42" t="s">
        <v>29</v>
      </c>
      <c r="I2" s="34" t="s">
        <v>30</v>
      </c>
      <c r="J2" s="12"/>
      <c r="K2" s="45" t="s">
        <v>50</v>
      </c>
      <c r="L2" s="34" t="s">
        <v>44</v>
      </c>
      <c r="M2" s="34" t="s">
        <v>29</v>
      </c>
      <c r="N2" s="34" t="s">
        <v>30</v>
      </c>
      <c r="P2" s="63" t="s">
        <v>50</v>
      </c>
      <c r="Q2" s="63" t="s">
        <v>44</v>
      </c>
      <c r="R2" s="68" t="s">
        <v>29</v>
      </c>
      <c r="S2" s="68" t="s">
        <v>30</v>
      </c>
      <c r="U2" s="68" t="s">
        <v>50</v>
      </c>
      <c r="V2" s="68" t="s">
        <v>44</v>
      </c>
      <c r="W2" s="68" t="s">
        <v>29</v>
      </c>
      <c r="X2" s="68" t="s">
        <v>30</v>
      </c>
      <c r="Z2" s="74" t="s">
        <v>52</v>
      </c>
      <c r="AA2" s="74" t="s">
        <v>44</v>
      </c>
      <c r="AB2" s="74" t="s">
        <v>29</v>
      </c>
      <c r="AC2" s="74" t="s">
        <v>30</v>
      </c>
      <c r="AE2" s="87" t="s">
        <v>52</v>
      </c>
      <c r="AF2" s="87" t="s">
        <v>44</v>
      </c>
      <c r="AG2" s="87" t="s">
        <v>29</v>
      </c>
      <c r="AH2" s="87" t="s">
        <v>30</v>
      </c>
      <c r="AJ2" s="93" t="s">
        <v>52</v>
      </c>
      <c r="AK2" s="93" t="s">
        <v>44</v>
      </c>
      <c r="AL2" s="93" t="s">
        <v>29</v>
      </c>
      <c r="AM2" s="93" t="s">
        <v>30</v>
      </c>
      <c r="AO2" s="98" t="s">
        <v>52</v>
      </c>
      <c r="AP2" s="98" t="s">
        <v>44</v>
      </c>
      <c r="AQ2" s="98" t="s">
        <v>29</v>
      </c>
      <c r="AR2" s="98" t="s">
        <v>30</v>
      </c>
      <c r="AT2" s="104" t="s">
        <v>52</v>
      </c>
      <c r="AU2" s="104" t="s">
        <v>44</v>
      </c>
      <c r="AV2" s="104" t="s">
        <v>29</v>
      </c>
      <c r="AW2" s="104" t="s">
        <v>30</v>
      </c>
      <c r="AY2" s="104" t="s">
        <v>52</v>
      </c>
      <c r="AZ2" s="104" t="s">
        <v>44</v>
      </c>
      <c r="BA2" s="104" t="s">
        <v>29</v>
      </c>
      <c r="BB2" s="104" t="s">
        <v>30</v>
      </c>
    </row>
    <row r="3" spans="1:54" x14ac:dyDescent="0.25">
      <c r="A3" s="32">
        <v>43505</v>
      </c>
      <c r="B3" s="32">
        <v>43506</v>
      </c>
      <c r="C3" s="36">
        <v>0.38750000000000001</v>
      </c>
      <c r="D3" s="3">
        <v>0</v>
      </c>
      <c r="E3" s="12"/>
      <c r="F3" s="32">
        <v>43525</v>
      </c>
      <c r="G3" s="32">
        <v>43526</v>
      </c>
      <c r="H3" s="43">
        <v>0.45833333333333331</v>
      </c>
      <c r="I3" s="3">
        <v>0</v>
      </c>
      <c r="J3" s="12"/>
      <c r="K3" s="38">
        <v>43556</v>
      </c>
      <c r="L3" s="38">
        <v>43557</v>
      </c>
      <c r="M3" s="46">
        <v>0.45833333333333331</v>
      </c>
      <c r="N3" s="3">
        <v>0</v>
      </c>
      <c r="P3" s="22">
        <v>43586</v>
      </c>
      <c r="Q3" s="22">
        <v>43587</v>
      </c>
      <c r="R3" s="64">
        <v>0.45833333333333331</v>
      </c>
      <c r="S3" s="41">
        <v>0</v>
      </c>
      <c r="U3" s="22">
        <v>43617</v>
      </c>
      <c r="V3" s="22">
        <v>43618</v>
      </c>
      <c r="W3" s="64">
        <v>0.45833333333333331</v>
      </c>
      <c r="X3" s="41">
        <v>0</v>
      </c>
      <c r="Z3" s="38">
        <v>43647</v>
      </c>
      <c r="AA3" s="38">
        <v>43648</v>
      </c>
      <c r="AB3" s="64">
        <v>0.45833333333333331</v>
      </c>
      <c r="AC3" s="41">
        <v>0</v>
      </c>
      <c r="AE3" s="38">
        <v>43678</v>
      </c>
      <c r="AF3" s="38">
        <v>43679</v>
      </c>
      <c r="AG3" s="64">
        <v>0.3215277777777778</v>
      </c>
      <c r="AH3" s="89">
        <v>14</v>
      </c>
      <c r="AJ3" s="38">
        <v>43709</v>
      </c>
      <c r="AK3" s="38">
        <v>43710</v>
      </c>
      <c r="AL3" s="64">
        <v>0.3125</v>
      </c>
      <c r="AM3" s="95">
        <v>32.5</v>
      </c>
      <c r="AO3" s="38">
        <v>43739</v>
      </c>
      <c r="AP3" s="38">
        <v>43740</v>
      </c>
      <c r="AQ3" s="64">
        <v>0.3125</v>
      </c>
      <c r="AR3" s="100">
        <v>0</v>
      </c>
      <c r="AT3" s="38">
        <v>43770</v>
      </c>
      <c r="AU3" s="38">
        <v>43771</v>
      </c>
      <c r="AV3" s="64">
        <v>0.3125</v>
      </c>
      <c r="AW3" s="106">
        <v>0</v>
      </c>
      <c r="AY3" s="38">
        <v>43800</v>
      </c>
      <c r="AZ3" s="38">
        <v>43801</v>
      </c>
      <c r="BA3" s="64">
        <v>0.3125</v>
      </c>
      <c r="BB3" s="106">
        <v>0</v>
      </c>
    </row>
    <row r="4" spans="1:54" x14ac:dyDescent="0.25">
      <c r="A4" s="32">
        <v>43506</v>
      </c>
      <c r="B4" s="32">
        <v>43507</v>
      </c>
      <c r="C4" s="36">
        <v>0.375</v>
      </c>
      <c r="D4" s="3">
        <v>0</v>
      </c>
      <c r="E4" s="12"/>
      <c r="F4" s="32">
        <v>43526</v>
      </c>
      <c r="G4" s="32">
        <v>43527</v>
      </c>
      <c r="H4" s="43">
        <v>0.45833333333333331</v>
      </c>
      <c r="I4" s="3">
        <v>0</v>
      </c>
      <c r="J4" s="12"/>
      <c r="K4" s="38">
        <v>43557</v>
      </c>
      <c r="L4" s="38">
        <v>43558</v>
      </c>
      <c r="M4" s="46">
        <v>0.45833333333333331</v>
      </c>
      <c r="N4" s="3">
        <v>0</v>
      </c>
      <c r="P4" s="22">
        <v>43587</v>
      </c>
      <c r="Q4" s="22">
        <v>43588</v>
      </c>
      <c r="R4" s="64">
        <v>0.45833333333333331</v>
      </c>
      <c r="S4" s="41">
        <v>0</v>
      </c>
      <c r="U4" s="22">
        <v>43618</v>
      </c>
      <c r="V4" s="22">
        <v>43619</v>
      </c>
      <c r="W4" s="64">
        <v>0.45833333333333331</v>
      </c>
      <c r="X4" s="41">
        <v>0</v>
      </c>
      <c r="Z4" s="38">
        <v>43648</v>
      </c>
      <c r="AA4" s="38">
        <v>43649</v>
      </c>
      <c r="AB4" s="64">
        <v>0.2951388888888889</v>
      </c>
      <c r="AC4" s="41">
        <v>4.5</v>
      </c>
      <c r="AE4" s="38">
        <v>43679</v>
      </c>
      <c r="AF4" s="38">
        <v>43680</v>
      </c>
      <c r="AG4" s="64">
        <v>0.45833333333333331</v>
      </c>
      <c r="AH4" s="89">
        <v>0</v>
      </c>
      <c r="AJ4" s="38">
        <v>43710</v>
      </c>
      <c r="AK4" s="38">
        <v>43711</v>
      </c>
      <c r="AL4" s="64">
        <v>0.31388888888888888</v>
      </c>
      <c r="AM4" s="95">
        <v>24</v>
      </c>
      <c r="AO4" s="38">
        <v>43740</v>
      </c>
      <c r="AP4" s="38">
        <v>43741</v>
      </c>
      <c r="AQ4" s="64">
        <v>0.3125</v>
      </c>
      <c r="AR4" s="100">
        <v>0</v>
      </c>
      <c r="AT4" s="38">
        <v>43771</v>
      </c>
      <c r="AU4" s="38">
        <v>43772</v>
      </c>
      <c r="AV4" s="64">
        <v>0.3125</v>
      </c>
      <c r="AW4" s="106">
        <v>0</v>
      </c>
      <c r="AY4" s="38">
        <v>43801</v>
      </c>
      <c r="AZ4" s="38">
        <v>43802</v>
      </c>
      <c r="BA4" s="64">
        <v>0.3125</v>
      </c>
      <c r="BB4" s="106">
        <v>0</v>
      </c>
    </row>
    <row r="5" spans="1:54" x14ac:dyDescent="0.25">
      <c r="A5" s="32">
        <v>43507</v>
      </c>
      <c r="B5" s="32">
        <v>43508</v>
      </c>
      <c r="C5" s="36">
        <v>0.375</v>
      </c>
      <c r="D5" s="3">
        <v>0</v>
      </c>
      <c r="E5" s="12"/>
      <c r="F5" s="32">
        <v>43527</v>
      </c>
      <c r="G5" s="32">
        <v>43528</v>
      </c>
      <c r="H5" s="43">
        <v>0.45833333333333331</v>
      </c>
      <c r="I5" s="3">
        <v>0</v>
      </c>
      <c r="J5" s="12"/>
      <c r="K5" s="38">
        <v>43558</v>
      </c>
      <c r="L5" s="38">
        <v>43559</v>
      </c>
      <c r="M5" s="46">
        <v>0.45833333333333331</v>
      </c>
      <c r="N5" s="3">
        <v>1</v>
      </c>
      <c r="P5" s="22">
        <v>43588</v>
      </c>
      <c r="Q5" s="22">
        <v>43589</v>
      </c>
      <c r="R5" s="64">
        <v>0.31111111111111112</v>
      </c>
      <c r="S5" s="41">
        <v>12</v>
      </c>
      <c r="U5" s="22">
        <v>43619</v>
      </c>
      <c r="V5" s="22">
        <v>43620</v>
      </c>
      <c r="W5" s="64">
        <v>0.45833333333333331</v>
      </c>
      <c r="X5" s="41">
        <v>0</v>
      </c>
      <c r="Z5" s="38">
        <v>43649</v>
      </c>
      <c r="AA5" s="38">
        <v>43650</v>
      </c>
      <c r="AB5" s="64">
        <v>0.45833333333333331</v>
      </c>
      <c r="AC5" s="41">
        <v>0</v>
      </c>
      <c r="AE5" s="38">
        <v>43680</v>
      </c>
      <c r="AF5" s="38">
        <v>43681</v>
      </c>
      <c r="AG5" s="64">
        <v>0.45833333333333331</v>
      </c>
      <c r="AH5" s="89">
        <v>0</v>
      </c>
      <c r="AJ5" s="38">
        <v>43711</v>
      </c>
      <c r="AK5" s="38">
        <v>43712</v>
      </c>
      <c r="AL5" s="64">
        <v>0.3263888888888889</v>
      </c>
      <c r="AM5" s="95">
        <v>1.5</v>
      </c>
      <c r="AO5" s="38">
        <v>43741</v>
      </c>
      <c r="AP5" s="38">
        <v>43742</v>
      </c>
      <c r="AQ5" s="64">
        <v>0.3125</v>
      </c>
      <c r="AR5" s="100">
        <v>3.5</v>
      </c>
      <c r="AT5" s="38">
        <v>43772</v>
      </c>
      <c r="AU5" s="38">
        <v>43773</v>
      </c>
      <c r="AV5" s="64">
        <v>0.3125</v>
      </c>
      <c r="AW5" s="106">
        <v>0</v>
      </c>
      <c r="AY5" s="38">
        <v>43802</v>
      </c>
      <c r="AZ5" s="38">
        <v>43803</v>
      </c>
      <c r="BA5" s="64">
        <v>0.3125</v>
      </c>
      <c r="BB5" s="106">
        <v>0</v>
      </c>
    </row>
    <row r="6" spans="1:54" x14ac:dyDescent="0.25">
      <c r="A6" s="32">
        <v>43508</v>
      </c>
      <c r="B6" s="32">
        <v>43509</v>
      </c>
      <c r="C6" s="36">
        <v>0.375</v>
      </c>
      <c r="D6" s="3">
        <v>0</v>
      </c>
      <c r="E6" s="12"/>
      <c r="F6" s="32">
        <v>43528</v>
      </c>
      <c r="G6" s="32">
        <v>43529</v>
      </c>
      <c r="H6" s="43">
        <v>0.45833333333333331</v>
      </c>
      <c r="I6" s="3">
        <v>0</v>
      </c>
      <c r="J6" s="12"/>
      <c r="K6" s="38">
        <v>43559</v>
      </c>
      <c r="L6" s="38">
        <v>43560</v>
      </c>
      <c r="M6" s="46">
        <v>0.45833333333333331</v>
      </c>
      <c r="N6" s="3">
        <v>0</v>
      </c>
      <c r="P6" s="22">
        <v>43589</v>
      </c>
      <c r="Q6" s="22">
        <v>43590</v>
      </c>
      <c r="R6" s="64">
        <v>0.45833333333333331</v>
      </c>
      <c r="S6" s="41">
        <v>0</v>
      </c>
      <c r="U6" s="22">
        <v>43620</v>
      </c>
      <c r="V6" s="22">
        <v>43621</v>
      </c>
      <c r="W6" s="64">
        <v>0.45833333333333331</v>
      </c>
      <c r="X6" s="41">
        <v>0</v>
      </c>
      <c r="Z6" s="38">
        <v>43650</v>
      </c>
      <c r="AA6" s="38">
        <v>43651</v>
      </c>
      <c r="AB6" s="64">
        <v>0.45833333333333331</v>
      </c>
      <c r="AC6" s="41">
        <v>0</v>
      </c>
      <c r="AE6" s="38">
        <v>43681</v>
      </c>
      <c r="AF6" s="38">
        <v>43682</v>
      </c>
      <c r="AG6" s="64">
        <v>0.45833333333333331</v>
      </c>
      <c r="AH6" s="89">
        <v>0</v>
      </c>
      <c r="AJ6" s="38">
        <v>43712</v>
      </c>
      <c r="AK6" s="38">
        <v>43713</v>
      </c>
      <c r="AL6" s="64">
        <v>0.31319444444444444</v>
      </c>
      <c r="AM6" s="95">
        <v>5</v>
      </c>
      <c r="AO6" s="38">
        <v>43742</v>
      </c>
      <c r="AP6" s="38">
        <v>43743</v>
      </c>
      <c r="AQ6" s="64">
        <v>0.3125</v>
      </c>
      <c r="AR6" s="100">
        <v>0</v>
      </c>
      <c r="AT6" s="38">
        <v>43773</v>
      </c>
      <c r="AU6" s="38">
        <v>43774</v>
      </c>
      <c r="AV6" s="64">
        <v>0.3125</v>
      </c>
      <c r="AW6" s="106">
        <v>0</v>
      </c>
      <c r="AY6" s="38">
        <v>43803</v>
      </c>
      <c r="AZ6" s="38">
        <v>43804</v>
      </c>
      <c r="BA6" s="64">
        <v>0.3125</v>
      </c>
      <c r="BB6" s="106">
        <v>0</v>
      </c>
    </row>
    <row r="7" spans="1:54" x14ac:dyDescent="0.25">
      <c r="A7" s="32">
        <v>43509</v>
      </c>
      <c r="B7" s="32">
        <v>43510</v>
      </c>
      <c r="C7" s="36">
        <v>0.375</v>
      </c>
      <c r="D7" s="3">
        <v>0</v>
      </c>
      <c r="E7" s="12"/>
      <c r="F7" s="32">
        <v>43529</v>
      </c>
      <c r="G7" s="32">
        <v>43530</v>
      </c>
      <c r="H7" s="43">
        <v>0.45833333333333331</v>
      </c>
      <c r="I7" s="3">
        <v>0</v>
      </c>
      <c r="J7" s="12"/>
      <c r="K7" s="38">
        <v>43560</v>
      </c>
      <c r="L7" s="38">
        <v>43561</v>
      </c>
      <c r="M7" s="46">
        <v>0.45833333333333331</v>
      </c>
      <c r="N7" s="3">
        <v>0</v>
      </c>
      <c r="P7" s="22">
        <v>43590</v>
      </c>
      <c r="Q7" s="22">
        <v>43591</v>
      </c>
      <c r="R7" s="64">
        <v>0.45833333333333331</v>
      </c>
      <c r="S7" s="41">
        <v>0</v>
      </c>
      <c r="U7" s="22">
        <v>43621</v>
      </c>
      <c r="V7" s="22">
        <v>43622</v>
      </c>
      <c r="W7" s="64">
        <v>0.31944444444444448</v>
      </c>
      <c r="X7" s="41">
        <v>46</v>
      </c>
      <c r="Z7" s="38">
        <v>43651</v>
      </c>
      <c r="AA7" s="38">
        <v>43652</v>
      </c>
      <c r="AB7" s="64">
        <v>0.3125</v>
      </c>
      <c r="AC7" s="41">
        <v>1.5</v>
      </c>
      <c r="AE7" s="38">
        <v>43682</v>
      </c>
      <c r="AF7" s="38">
        <v>43683</v>
      </c>
      <c r="AG7" s="64">
        <v>0.2986111111111111</v>
      </c>
      <c r="AH7" s="89">
        <v>37</v>
      </c>
      <c r="AJ7" s="38">
        <v>43713</v>
      </c>
      <c r="AK7" s="38">
        <v>43714</v>
      </c>
      <c r="AL7" s="64">
        <v>0.45833333333333331</v>
      </c>
      <c r="AM7" s="95">
        <v>0</v>
      </c>
      <c r="AO7" s="38">
        <v>43743</v>
      </c>
      <c r="AP7" s="38">
        <v>43744</v>
      </c>
      <c r="AQ7" s="64">
        <v>0.3125</v>
      </c>
      <c r="AR7" s="100">
        <v>0</v>
      </c>
      <c r="AT7" s="38">
        <v>43774</v>
      </c>
      <c r="AU7" s="38">
        <v>43775</v>
      </c>
      <c r="AV7" s="64">
        <v>0.3125</v>
      </c>
      <c r="AW7" s="106">
        <v>0</v>
      </c>
      <c r="AY7" s="38">
        <v>43804</v>
      </c>
      <c r="AZ7" s="38">
        <v>43805</v>
      </c>
      <c r="BA7" s="64">
        <v>0.3125</v>
      </c>
      <c r="BB7" s="106">
        <v>0</v>
      </c>
    </row>
    <row r="8" spans="1:54" x14ac:dyDescent="0.25">
      <c r="A8" s="32">
        <v>43510</v>
      </c>
      <c r="B8" s="32">
        <v>43511</v>
      </c>
      <c r="C8" s="36">
        <v>0.375</v>
      </c>
      <c r="D8" s="3">
        <v>0</v>
      </c>
      <c r="E8" s="12"/>
      <c r="F8" s="32">
        <v>43530</v>
      </c>
      <c r="G8" s="32">
        <v>43531</v>
      </c>
      <c r="H8" s="43">
        <v>0.45833333333333331</v>
      </c>
      <c r="I8" s="3">
        <v>0</v>
      </c>
      <c r="J8" s="12"/>
      <c r="K8" s="38">
        <v>43561</v>
      </c>
      <c r="L8" s="38">
        <v>43562</v>
      </c>
      <c r="M8" s="46">
        <v>0.45833333333333331</v>
      </c>
      <c r="N8" s="3">
        <v>0</v>
      </c>
      <c r="P8" s="22">
        <v>43591</v>
      </c>
      <c r="Q8" s="22">
        <v>43592</v>
      </c>
      <c r="R8" s="64">
        <v>0.45833333333333331</v>
      </c>
      <c r="S8" s="41">
        <v>0</v>
      </c>
      <c r="U8" s="22">
        <v>43622</v>
      </c>
      <c r="V8" s="22">
        <v>43623</v>
      </c>
      <c r="W8" s="64">
        <v>0.34722222222222227</v>
      </c>
      <c r="X8" s="41">
        <v>19</v>
      </c>
      <c r="Z8" s="38">
        <v>43652</v>
      </c>
      <c r="AA8" s="38">
        <v>43653</v>
      </c>
      <c r="AB8" s="64">
        <v>0.45833333333333331</v>
      </c>
      <c r="AC8" s="81">
        <v>0</v>
      </c>
      <c r="AE8" s="38">
        <v>43683</v>
      </c>
      <c r="AF8" s="38">
        <v>43684</v>
      </c>
      <c r="AG8" s="64">
        <v>0.45833333333333331</v>
      </c>
      <c r="AH8" s="89">
        <v>0</v>
      </c>
      <c r="AJ8" s="38">
        <v>43714</v>
      </c>
      <c r="AK8" s="38">
        <v>43715</v>
      </c>
      <c r="AL8" s="64">
        <v>0.30555555555555552</v>
      </c>
      <c r="AM8" s="95">
        <v>59</v>
      </c>
      <c r="AO8" s="38">
        <v>43744</v>
      </c>
      <c r="AP8" s="38">
        <v>43745</v>
      </c>
      <c r="AQ8" s="64">
        <v>0.3125</v>
      </c>
      <c r="AR8" s="100">
        <v>0.5</v>
      </c>
      <c r="AT8" s="38">
        <v>43775</v>
      </c>
      <c r="AU8" s="38">
        <v>43776</v>
      </c>
      <c r="AV8" s="64">
        <v>0.3125</v>
      </c>
      <c r="AW8" s="106">
        <v>0</v>
      </c>
      <c r="AY8" s="38">
        <v>43805</v>
      </c>
      <c r="AZ8" s="38">
        <v>43806</v>
      </c>
      <c r="BA8" s="64">
        <v>0.3125</v>
      </c>
      <c r="BB8" s="106">
        <v>0</v>
      </c>
    </row>
    <row r="9" spans="1:54" x14ac:dyDescent="0.25">
      <c r="A9" s="32">
        <v>43511</v>
      </c>
      <c r="B9" s="32">
        <v>43512</v>
      </c>
      <c r="C9" s="36">
        <v>0.375</v>
      </c>
      <c r="D9" s="3">
        <v>0</v>
      </c>
      <c r="E9" s="12"/>
      <c r="F9" s="32">
        <v>43531</v>
      </c>
      <c r="G9" s="32">
        <v>43532</v>
      </c>
      <c r="H9" s="43">
        <v>0.45833333333333331</v>
      </c>
      <c r="I9" s="3">
        <v>0</v>
      </c>
      <c r="J9" s="12"/>
      <c r="K9" s="38">
        <v>43562</v>
      </c>
      <c r="L9" s="38">
        <v>43563</v>
      </c>
      <c r="M9" s="46">
        <v>0.45833333333333331</v>
      </c>
      <c r="N9" s="3">
        <v>0</v>
      </c>
      <c r="P9" s="22">
        <v>43592</v>
      </c>
      <c r="Q9" s="22">
        <v>43593</v>
      </c>
      <c r="R9" s="64">
        <v>0.32847222222222222</v>
      </c>
      <c r="S9" s="41">
        <v>0.6</v>
      </c>
      <c r="U9" s="22">
        <v>43623</v>
      </c>
      <c r="V9" s="22">
        <v>43624</v>
      </c>
      <c r="W9" s="64">
        <v>0.45833333333333331</v>
      </c>
      <c r="X9" s="41">
        <v>0</v>
      </c>
      <c r="Z9" s="38">
        <v>43653</v>
      </c>
      <c r="AA9" s="38">
        <v>43654</v>
      </c>
      <c r="AB9" s="64">
        <v>0.45833333333333331</v>
      </c>
      <c r="AC9" s="81">
        <v>0</v>
      </c>
      <c r="AE9" s="38">
        <v>43684</v>
      </c>
      <c r="AF9" s="38">
        <v>43685</v>
      </c>
      <c r="AG9" s="64">
        <v>0.54861111111111105</v>
      </c>
      <c r="AH9" s="89">
        <v>0.5</v>
      </c>
      <c r="AJ9" s="38">
        <v>43715</v>
      </c>
      <c r="AK9" s="38">
        <v>43716</v>
      </c>
      <c r="AL9" s="64">
        <v>0.375</v>
      </c>
      <c r="AM9" s="95">
        <v>0.5</v>
      </c>
      <c r="AO9" s="38">
        <v>43745</v>
      </c>
      <c r="AP9" s="38">
        <v>43746</v>
      </c>
      <c r="AQ9" s="64">
        <v>0.3125</v>
      </c>
      <c r="AR9" s="100">
        <v>0</v>
      </c>
      <c r="AT9" s="38">
        <v>43776</v>
      </c>
      <c r="AU9" s="38">
        <v>43777</v>
      </c>
      <c r="AV9" s="64">
        <v>0.3125</v>
      </c>
      <c r="AW9" s="106">
        <v>0</v>
      </c>
      <c r="AY9" s="38">
        <v>43806</v>
      </c>
      <c r="AZ9" s="38">
        <v>43807</v>
      </c>
      <c r="BA9" s="64">
        <v>0.3125</v>
      </c>
      <c r="BB9" s="106">
        <v>0</v>
      </c>
    </row>
    <row r="10" spans="1:54" x14ac:dyDescent="0.25">
      <c r="A10" s="32">
        <v>43512</v>
      </c>
      <c r="B10" s="32">
        <v>43513</v>
      </c>
      <c r="C10" s="36">
        <v>0.375</v>
      </c>
      <c r="D10" s="3">
        <v>0</v>
      </c>
      <c r="E10" s="12"/>
      <c r="F10" s="32">
        <v>43532</v>
      </c>
      <c r="G10" s="32">
        <v>43533</v>
      </c>
      <c r="H10" s="43">
        <v>0.45833333333333331</v>
      </c>
      <c r="I10" s="3">
        <v>0</v>
      </c>
      <c r="J10" s="12"/>
      <c r="K10" s="38">
        <v>43563</v>
      </c>
      <c r="L10" s="38">
        <v>43564</v>
      </c>
      <c r="M10" s="46">
        <v>0.45833333333333331</v>
      </c>
      <c r="N10" s="3">
        <v>0</v>
      </c>
      <c r="P10" s="22">
        <v>43593</v>
      </c>
      <c r="Q10" s="22">
        <v>43594</v>
      </c>
      <c r="R10" s="64">
        <v>0.45833333333333331</v>
      </c>
      <c r="S10" s="41">
        <v>0</v>
      </c>
      <c r="U10" s="22">
        <v>43624</v>
      </c>
      <c r="V10" s="22">
        <v>43625</v>
      </c>
      <c r="W10" s="64">
        <v>0.45833333333333331</v>
      </c>
      <c r="X10" s="41">
        <v>0</v>
      </c>
      <c r="Z10" s="38">
        <v>43654</v>
      </c>
      <c r="AA10" s="38">
        <v>43655</v>
      </c>
      <c r="AB10" s="64">
        <v>0.30555555555555552</v>
      </c>
      <c r="AC10" s="41">
        <v>22</v>
      </c>
      <c r="AE10" s="38">
        <v>43685</v>
      </c>
      <c r="AF10" s="38">
        <v>43686</v>
      </c>
      <c r="AG10" s="64">
        <v>0.31944444444444448</v>
      </c>
      <c r="AH10" s="89">
        <v>8</v>
      </c>
      <c r="AJ10" s="38">
        <v>43716</v>
      </c>
      <c r="AK10" s="38">
        <v>43717</v>
      </c>
      <c r="AL10" s="64">
        <v>0.31458333333333333</v>
      </c>
      <c r="AM10" s="95">
        <v>4</v>
      </c>
      <c r="AO10" s="38">
        <v>43746</v>
      </c>
      <c r="AP10" s="38">
        <v>43747</v>
      </c>
      <c r="AQ10" s="64">
        <v>0.3125</v>
      </c>
      <c r="AR10" s="100">
        <v>28</v>
      </c>
      <c r="AT10" s="38">
        <v>43777</v>
      </c>
      <c r="AU10" s="38">
        <v>43778</v>
      </c>
      <c r="AV10" s="64">
        <v>0.3125</v>
      </c>
      <c r="AW10" s="106">
        <v>4.5</v>
      </c>
      <c r="AY10" s="38">
        <v>43807</v>
      </c>
      <c r="AZ10" s="38">
        <v>43808</v>
      </c>
      <c r="BA10" s="64">
        <v>0.3125</v>
      </c>
      <c r="BB10" s="106">
        <v>0</v>
      </c>
    </row>
    <row r="11" spans="1:54" x14ac:dyDescent="0.25">
      <c r="A11" s="32">
        <v>43513</v>
      </c>
      <c r="B11" s="32">
        <v>43514</v>
      </c>
      <c r="C11" s="36">
        <v>0.375</v>
      </c>
      <c r="D11" s="3">
        <v>0</v>
      </c>
      <c r="E11" s="12"/>
      <c r="F11" s="32">
        <v>43533</v>
      </c>
      <c r="G11" s="32">
        <v>43534</v>
      </c>
      <c r="H11" s="43">
        <v>0.45833333333333331</v>
      </c>
      <c r="I11" s="3">
        <v>0</v>
      </c>
      <c r="J11" s="12"/>
      <c r="K11" s="38">
        <v>43564</v>
      </c>
      <c r="L11" s="38">
        <v>43565</v>
      </c>
      <c r="M11" s="46">
        <v>0.45833333333333331</v>
      </c>
      <c r="N11" s="3">
        <v>0</v>
      </c>
      <c r="P11" s="22">
        <v>43594</v>
      </c>
      <c r="Q11" s="22">
        <v>43595</v>
      </c>
      <c r="R11" s="64">
        <v>0.45833333333333331</v>
      </c>
      <c r="S11" s="41">
        <v>0</v>
      </c>
      <c r="U11" s="22">
        <v>43625</v>
      </c>
      <c r="V11" s="22">
        <v>43626</v>
      </c>
      <c r="W11" s="64">
        <v>0.45833333333333331</v>
      </c>
      <c r="X11" s="41">
        <v>0</v>
      </c>
      <c r="Z11" s="38">
        <v>43655</v>
      </c>
      <c r="AA11" s="38">
        <v>43656</v>
      </c>
      <c r="AB11" s="64">
        <v>0.45833333333333331</v>
      </c>
      <c r="AC11" s="41">
        <v>0</v>
      </c>
      <c r="AE11" s="38">
        <v>43686</v>
      </c>
      <c r="AF11" s="38">
        <v>43687</v>
      </c>
      <c r="AG11" s="64">
        <v>0.45833333333333331</v>
      </c>
      <c r="AH11" s="89">
        <v>0</v>
      </c>
      <c r="AJ11" s="38">
        <v>43717</v>
      </c>
      <c r="AK11" s="38">
        <v>43718</v>
      </c>
      <c r="AL11" s="64">
        <v>0.3215277777777778</v>
      </c>
      <c r="AM11" s="95">
        <v>2</v>
      </c>
      <c r="AO11" s="38">
        <v>43747</v>
      </c>
      <c r="AP11" s="38">
        <v>43748</v>
      </c>
      <c r="AQ11" s="64">
        <v>0.3125</v>
      </c>
      <c r="AR11" s="100">
        <v>0.4</v>
      </c>
      <c r="AT11" s="38">
        <v>43778</v>
      </c>
      <c r="AU11" s="38">
        <v>43779</v>
      </c>
      <c r="AV11" s="64">
        <v>0.3125</v>
      </c>
      <c r="AW11" s="106">
        <v>0</v>
      </c>
      <c r="AY11" s="38">
        <v>43808</v>
      </c>
      <c r="AZ11" s="38">
        <v>43809</v>
      </c>
      <c r="BA11" s="64">
        <v>0.3125</v>
      </c>
      <c r="BB11" s="106">
        <v>0</v>
      </c>
    </row>
    <row r="12" spans="1:54" x14ac:dyDescent="0.25">
      <c r="A12" s="32">
        <v>43514</v>
      </c>
      <c r="B12" s="32">
        <v>43515</v>
      </c>
      <c r="C12" s="36">
        <v>0.375</v>
      </c>
      <c r="D12" s="3">
        <v>0</v>
      </c>
      <c r="E12" s="12"/>
      <c r="F12" s="32">
        <v>43534</v>
      </c>
      <c r="G12" s="32">
        <v>43535</v>
      </c>
      <c r="H12" s="43">
        <v>0.45833333333333331</v>
      </c>
      <c r="I12" s="3">
        <v>0</v>
      </c>
      <c r="J12" s="12"/>
      <c r="K12" s="38">
        <v>43565</v>
      </c>
      <c r="L12" s="38">
        <v>43566</v>
      </c>
      <c r="M12" s="46">
        <v>0.45833333333333331</v>
      </c>
      <c r="N12" s="3">
        <v>0</v>
      </c>
      <c r="P12" s="22">
        <v>43595</v>
      </c>
      <c r="Q12" s="22">
        <v>43596</v>
      </c>
      <c r="R12" s="64">
        <v>0.45833333333333331</v>
      </c>
      <c r="S12" s="41">
        <v>0</v>
      </c>
      <c r="U12" s="22">
        <v>43626</v>
      </c>
      <c r="V12" s="22">
        <v>43627</v>
      </c>
      <c r="W12" s="64">
        <v>0.45833333333333331</v>
      </c>
      <c r="X12" s="41">
        <v>0.5</v>
      </c>
      <c r="Z12" s="38">
        <v>43656</v>
      </c>
      <c r="AA12" s="38">
        <v>43657</v>
      </c>
      <c r="AB12" s="64">
        <v>0.45833333333333331</v>
      </c>
      <c r="AC12" s="41">
        <v>0</v>
      </c>
      <c r="AE12" s="38">
        <v>43687</v>
      </c>
      <c r="AF12" s="38">
        <v>43688</v>
      </c>
      <c r="AG12" s="64">
        <v>0.45833333333333331</v>
      </c>
      <c r="AH12" s="89">
        <v>0</v>
      </c>
      <c r="AJ12" s="38">
        <v>43718</v>
      </c>
      <c r="AK12" s="38">
        <v>43719</v>
      </c>
      <c r="AL12" s="64">
        <v>0.31875000000000003</v>
      </c>
      <c r="AM12" s="95">
        <v>21</v>
      </c>
      <c r="AO12" s="38">
        <v>43748</v>
      </c>
      <c r="AP12" s="38">
        <v>43749</v>
      </c>
      <c r="AQ12" s="64">
        <v>0.3125</v>
      </c>
      <c r="AR12" s="100">
        <v>0</v>
      </c>
      <c r="AT12" s="38">
        <v>43779</v>
      </c>
      <c r="AU12" s="38">
        <v>43780</v>
      </c>
      <c r="AV12" s="64">
        <v>0.3125</v>
      </c>
      <c r="AW12" s="106">
        <v>0</v>
      </c>
      <c r="AY12" s="38">
        <v>43809</v>
      </c>
      <c r="AZ12" s="38">
        <v>43810</v>
      </c>
      <c r="BA12" s="64">
        <v>0.3125</v>
      </c>
      <c r="BB12" s="106">
        <v>0</v>
      </c>
    </row>
    <row r="13" spans="1:54" x14ac:dyDescent="0.25">
      <c r="A13" s="32">
        <v>43515</v>
      </c>
      <c r="B13" s="32">
        <v>43516</v>
      </c>
      <c r="C13" s="36">
        <v>0.375</v>
      </c>
      <c r="D13" s="3">
        <v>0</v>
      </c>
      <c r="E13" s="12"/>
      <c r="F13" s="32">
        <v>43535</v>
      </c>
      <c r="G13" s="32">
        <v>43536</v>
      </c>
      <c r="H13" s="43">
        <v>0.45833333333333331</v>
      </c>
      <c r="I13" s="3">
        <v>0</v>
      </c>
      <c r="J13" s="12"/>
      <c r="K13" s="38">
        <v>43566</v>
      </c>
      <c r="L13" s="38">
        <v>43567</v>
      </c>
      <c r="M13" s="46">
        <v>0.45833333333333331</v>
      </c>
      <c r="N13" s="3">
        <v>0</v>
      </c>
      <c r="P13" s="22">
        <v>43596</v>
      </c>
      <c r="Q13" s="22">
        <v>43597</v>
      </c>
      <c r="R13" s="64">
        <v>0.37847222222222227</v>
      </c>
      <c r="S13" s="41">
        <v>1</v>
      </c>
      <c r="U13" s="22">
        <v>43627</v>
      </c>
      <c r="V13" s="22">
        <v>43628</v>
      </c>
      <c r="W13" s="64">
        <v>0.3125</v>
      </c>
      <c r="X13" s="41">
        <v>4.5</v>
      </c>
      <c r="Z13" s="38">
        <v>43657</v>
      </c>
      <c r="AA13" s="38">
        <v>43658</v>
      </c>
      <c r="AB13" s="64">
        <v>0.45833333333333331</v>
      </c>
      <c r="AC13" s="41">
        <v>0</v>
      </c>
      <c r="AE13" s="38">
        <v>43688</v>
      </c>
      <c r="AF13" s="38">
        <v>43689</v>
      </c>
      <c r="AG13" s="64">
        <v>0.45833333333333331</v>
      </c>
      <c r="AH13" s="89">
        <v>0</v>
      </c>
      <c r="AJ13" s="38">
        <v>43719</v>
      </c>
      <c r="AK13" s="38">
        <v>43720</v>
      </c>
      <c r="AL13" s="64">
        <v>0.32013888888888892</v>
      </c>
      <c r="AM13" s="95">
        <v>1</v>
      </c>
      <c r="AO13" s="38">
        <v>43749</v>
      </c>
      <c r="AP13" s="38">
        <v>43750</v>
      </c>
      <c r="AQ13" s="64">
        <v>0.3125</v>
      </c>
      <c r="AR13" s="100">
        <v>8</v>
      </c>
      <c r="AT13" s="38">
        <v>43780</v>
      </c>
      <c r="AU13" s="38">
        <v>43781</v>
      </c>
      <c r="AV13" s="64">
        <v>0.3125</v>
      </c>
      <c r="AW13" s="106">
        <v>0</v>
      </c>
      <c r="AY13" s="38">
        <v>43810</v>
      </c>
      <c r="AZ13" s="38">
        <v>43811</v>
      </c>
      <c r="BA13" s="64">
        <v>0.3125</v>
      </c>
      <c r="BB13" s="106">
        <v>0</v>
      </c>
    </row>
    <row r="14" spans="1:54" x14ac:dyDescent="0.25">
      <c r="A14" s="32">
        <v>43516</v>
      </c>
      <c r="B14" s="32">
        <v>43517</v>
      </c>
      <c r="C14" s="36">
        <v>0.375</v>
      </c>
      <c r="D14" s="3">
        <v>0</v>
      </c>
      <c r="E14" s="12"/>
      <c r="F14" s="32">
        <v>43536</v>
      </c>
      <c r="G14" s="32">
        <v>43537</v>
      </c>
      <c r="H14" s="43">
        <v>0.45833333333333331</v>
      </c>
      <c r="I14" s="3">
        <v>0</v>
      </c>
      <c r="J14" s="12"/>
      <c r="K14" s="38">
        <v>43567</v>
      </c>
      <c r="L14" s="38">
        <v>43568</v>
      </c>
      <c r="M14" s="46">
        <v>0.45833333333333331</v>
      </c>
      <c r="N14" s="3">
        <v>0</v>
      </c>
      <c r="P14" s="22">
        <v>43597</v>
      </c>
      <c r="Q14" s="22">
        <v>43598</v>
      </c>
      <c r="R14" s="64">
        <v>0.45833333333333331</v>
      </c>
      <c r="S14" s="41">
        <v>0</v>
      </c>
      <c r="U14" s="22">
        <v>43628</v>
      </c>
      <c r="V14" s="22">
        <v>43629</v>
      </c>
      <c r="W14" s="64">
        <v>0.45833333333333331</v>
      </c>
      <c r="X14" s="41">
        <v>0</v>
      </c>
      <c r="Z14" s="38">
        <v>43658</v>
      </c>
      <c r="AA14" s="38">
        <v>43659</v>
      </c>
      <c r="AB14" s="64">
        <v>0.45833333333333331</v>
      </c>
      <c r="AC14" s="81">
        <v>0</v>
      </c>
      <c r="AE14" s="38">
        <v>43689</v>
      </c>
      <c r="AF14" s="38">
        <v>43690</v>
      </c>
      <c r="AG14" s="64">
        <v>0.45833333333333331</v>
      </c>
      <c r="AH14" s="89">
        <v>0</v>
      </c>
      <c r="AJ14" s="38">
        <v>43720</v>
      </c>
      <c r="AK14" s="38">
        <v>43721</v>
      </c>
      <c r="AL14" s="64">
        <v>0.3125</v>
      </c>
      <c r="AM14" s="95">
        <v>13.5</v>
      </c>
      <c r="AO14" s="38">
        <v>43750</v>
      </c>
      <c r="AP14" s="38">
        <v>43751</v>
      </c>
      <c r="AQ14" s="64">
        <v>0.3125</v>
      </c>
      <c r="AR14" s="100">
        <v>4.5</v>
      </c>
      <c r="AT14" s="38">
        <v>43781</v>
      </c>
      <c r="AU14" s="38">
        <v>43782</v>
      </c>
      <c r="AV14" s="64">
        <v>0.3125</v>
      </c>
      <c r="AW14" s="106">
        <v>0</v>
      </c>
      <c r="AY14" s="38">
        <v>43811</v>
      </c>
      <c r="AZ14" s="38">
        <v>43812</v>
      </c>
      <c r="BA14" s="64">
        <v>0.3125</v>
      </c>
      <c r="BB14" s="106">
        <v>0</v>
      </c>
    </row>
    <row r="15" spans="1:54" x14ac:dyDescent="0.25">
      <c r="A15" s="32">
        <v>43517</v>
      </c>
      <c r="B15" s="32">
        <v>43518</v>
      </c>
      <c r="C15" s="36">
        <v>0.375</v>
      </c>
      <c r="D15" s="3">
        <v>0</v>
      </c>
      <c r="E15" s="12"/>
      <c r="F15" s="32">
        <v>43537</v>
      </c>
      <c r="G15" s="32">
        <v>43538</v>
      </c>
      <c r="H15" s="43">
        <v>0.45833333333333331</v>
      </c>
      <c r="I15" s="3">
        <v>0</v>
      </c>
      <c r="J15" s="12"/>
      <c r="K15" s="38">
        <v>43568</v>
      </c>
      <c r="L15" s="38">
        <v>43569</v>
      </c>
      <c r="M15" s="46">
        <v>0.45833333333333331</v>
      </c>
      <c r="N15" s="3">
        <v>0</v>
      </c>
      <c r="P15" s="22">
        <v>43598</v>
      </c>
      <c r="Q15" s="22">
        <v>43599</v>
      </c>
      <c r="R15" s="64">
        <v>0.31944444444444448</v>
      </c>
      <c r="S15" s="41">
        <v>2</v>
      </c>
      <c r="U15" s="22">
        <v>43629</v>
      </c>
      <c r="V15" s="22">
        <v>43630</v>
      </c>
      <c r="W15" s="64">
        <v>0.45833333333333331</v>
      </c>
      <c r="X15" s="41">
        <v>2</v>
      </c>
      <c r="Z15" s="38">
        <v>43659</v>
      </c>
      <c r="AA15" s="38">
        <v>43660</v>
      </c>
      <c r="AB15" s="64">
        <v>0.31388888888888888</v>
      </c>
      <c r="AC15" s="41">
        <v>8.5</v>
      </c>
      <c r="AE15" s="38">
        <v>43690</v>
      </c>
      <c r="AF15" s="38">
        <v>43691</v>
      </c>
      <c r="AG15" s="64">
        <v>0.45833333333333331</v>
      </c>
      <c r="AH15" s="89">
        <v>0</v>
      </c>
      <c r="AJ15" s="38">
        <v>43721</v>
      </c>
      <c r="AK15" s="38">
        <v>43722</v>
      </c>
      <c r="AL15" s="64">
        <v>0.3125</v>
      </c>
      <c r="AM15" s="95">
        <v>2.5</v>
      </c>
      <c r="AO15" s="38">
        <v>43751</v>
      </c>
      <c r="AP15" s="38">
        <v>43752</v>
      </c>
      <c r="AQ15" s="64">
        <v>0.3125</v>
      </c>
      <c r="AR15" s="100">
        <v>0</v>
      </c>
      <c r="AT15" s="38">
        <v>43782</v>
      </c>
      <c r="AU15" s="38">
        <v>43783</v>
      </c>
      <c r="AV15" s="64">
        <v>0.3125</v>
      </c>
      <c r="AW15" s="106">
        <v>0</v>
      </c>
      <c r="AY15" s="38">
        <v>43812</v>
      </c>
      <c r="AZ15" s="38">
        <v>43813</v>
      </c>
      <c r="BA15" s="64">
        <v>0.3125</v>
      </c>
      <c r="BB15" s="106">
        <v>0</v>
      </c>
    </row>
    <row r="16" spans="1:54" x14ac:dyDescent="0.25">
      <c r="A16" s="32">
        <v>43518</v>
      </c>
      <c r="B16" s="32">
        <v>43519</v>
      </c>
      <c r="C16" s="36">
        <v>0.375</v>
      </c>
      <c r="D16" s="3">
        <v>0</v>
      </c>
      <c r="E16" s="12"/>
      <c r="F16" s="32">
        <v>43538</v>
      </c>
      <c r="G16" s="32">
        <v>43539</v>
      </c>
      <c r="H16" s="43">
        <v>0.45833333333333331</v>
      </c>
      <c r="I16" s="39">
        <v>0</v>
      </c>
      <c r="J16" s="12"/>
      <c r="K16" s="38">
        <v>43569</v>
      </c>
      <c r="L16" s="38">
        <v>43570</v>
      </c>
      <c r="M16" s="46">
        <v>0.45833333333333331</v>
      </c>
      <c r="N16" s="3">
        <v>0</v>
      </c>
      <c r="P16" s="22">
        <v>43599</v>
      </c>
      <c r="Q16" s="22">
        <v>43600</v>
      </c>
      <c r="R16" s="64">
        <v>0.45833333333333331</v>
      </c>
      <c r="S16" s="41">
        <v>0</v>
      </c>
      <c r="U16" s="22">
        <v>43630</v>
      </c>
      <c r="V16" s="22">
        <v>43631</v>
      </c>
      <c r="W16" s="64">
        <v>0.30416666666666664</v>
      </c>
      <c r="X16" s="41">
        <v>8</v>
      </c>
      <c r="Z16" s="38">
        <v>43660</v>
      </c>
      <c r="AA16" s="38">
        <v>43661</v>
      </c>
      <c r="AB16" s="64">
        <v>0.45833333333333331</v>
      </c>
      <c r="AC16" s="41">
        <v>0</v>
      </c>
      <c r="AE16" s="38">
        <v>43691</v>
      </c>
      <c r="AF16" s="38">
        <v>43692</v>
      </c>
      <c r="AG16" s="64">
        <v>0.45833333333333331</v>
      </c>
      <c r="AH16" s="89">
        <v>0</v>
      </c>
      <c r="AJ16" s="38">
        <v>43722</v>
      </c>
      <c r="AK16" s="38">
        <v>43723</v>
      </c>
      <c r="AL16" s="64">
        <v>0.3125</v>
      </c>
      <c r="AM16" s="95">
        <v>13</v>
      </c>
      <c r="AO16" s="38">
        <v>43752</v>
      </c>
      <c r="AP16" s="38">
        <v>43753</v>
      </c>
      <c r="AQ16" s="64">
        <v>0.3125</v>
      </c>
      <c r="AR16" s="100">
        <v>0</v>
      </c>
      <c r="AT16" s="38">
        <v>43783</v>
      </c>
      <c r="AU16" s="38">
        <v>43784</v>
      </c>
      <c r="AV16" s="64">
        <v>0.3125</v>
      </c>
      <c r="AW16" s="106">
        <v>0</v>
      </c>
      <c r="AY16" s="38">
        <v>43813</v>
      </c>
      <c r="AZ16" s="38">
        <v>43814</v>
      </c>
      <c r="BA16" s="64">
        <v>0.3125</v>
      </c>
      <c r="BB16" s="106">
        <v>0</v>
      </c>
    </row>
    <row r="17" spans="1:54" x14ac:dyDescent="0.25">
      <c r="A17" s="32">
        <v>43519</v>
      </c>
      <c r="B17" s="32">
        <v>43520</v>
      </c>
      <c r="C17" s="36">
        <v>0.375</v>
      </c>
      <c r="D17" s="3">
        <v>0</v>
      </c>
      <c r="E17" s="12"/>
      <c r="F17" s="32">
        <v>43539</v>
      </c>
      <c r="G17" s="32">
        <v>43540</v>
      </c>
      <c r="H17" s="43">
        <v>0.45833333333333331</v>
      </c>
      <c r="I17" s="40">
        <v>0</v>
      </c>
      <c r="J17" s="12"/>
      <c r="K17" s="38">
        <v>43570</v>
      </c>
      <c r="L17" s="38">
        <v>43571</v>
      </c>
      <c r="M17" s="46">
        <v>0.45833333333333331</v>
      </c>
      <c r="N17" s="3">
        <v>0</v>
      </c>
      <c r="P17" s="22">
        <v>43600</v>
      </c>
      <c r="Q17" s="22">
        <v>43601</v>
      </c>
      <c r="R17" s="64">
        <v>0.45833333333333331</v>
      </c>
      <c r="S17" s="41">
        <v>0</v>
      </c>
      <c r="U17" s="22">
        <v>43631</v>
      </c>
      <c r="V17" s="22">
        <v>43632</v>
      </c>
      <c r="W17" s="64">
        <v>0.45833333333333331</v>
      </c>
      <c r="X17" s="41">
        <v>0</v>
      </c>
      <c r="Z17" s="38">
        <v>43661</v>
      </c>
      <c r="AA17" s="38">
        <v>43662</v>
      </c>
      <c r="AB17" s="64">
        <v>0.45833333333333331</v>
      </c>
      <c r="AC17" s="81">
        <v>0</v>
      </c>
      <c r="AE17" s="38">
        <v>43692</v>
      </c>
      <c r="AF17" s="38">
        <v>43693</v>
      </c>
      <c r="AG17" s="64">
        <v>0.45833333333333331</v>
      </c>
      <c r="AH17" s="89">
        <v>0</v>
      </c>
      <c r="AJ17" s="38">
        <v>43723</v>
      </c>
      <c r="AK17" s="38">
        <v>43724</v>
      </c>
      <c r="AL17" s="64">
        <v>0.3125</v>
      </c>
      <c r="AM17" s="95">
        <v>0</v>
      </c>
      <c r="AO17" s="38">
        <v>43753</v>
      </c>
      <c r="AP17" s="38">
        <v>43754</v>
      </c>
      <c r="AQ17" s="64">
        <v>0.3125</v>
      </c>
      <c r="AR17" s="100">
        <v>0</v>
      </c>
      <c r="AT17" s="38">
        <v>43784</v>
      </c>
      <c r="AU17" s="38">
        <v>43785</v>
      </c>
      <c r="AV17" s="64">
        <v>0.3125</v>
      </c>
      <c r="AW17" s="106">
        <v>0</v>
      </c>
      <c r="AY17" s="38">
        <v>43814</v>
      </c>
      <c r="AZ17" s="38">
        <v>43815</v>
      </c>
      <c r="BA17" s="64">
        <v>0.3125</v>
      </c>
      <c r="BB17" s="106">
        <v>0</v>
      </c>
    </row>
    <row r="18" spans="1:54" x14ac:dyDescent="0.25">
      <c r="A18" s="32">
        <v>43520</v>
      </c>
      <c r="B18" s="32">
        <v>43521</v>
      </c>
      <c r="C18" s="36">
        <v>0.375</v>
      </c>
      <c r="D18" s="3">
        <v>0</v>
      </c>
      <c r="E18" s="12"/>
      <c r="F18" s="32">
        <v>43540</v>
      </c>
      <c r="G18" s="32">
        <v>43541</v>
      </c>
      <c r="H18" s="43">
        <v>0.45833333333333331</v>
      </c>
      <c r="I18" s="40">
        <v>0</v>
      </c>
      <c r="J18" s="12"/>
      <c r="K18" s="38">
        <v>43571</v>
      </c>
      <c r="L18" s="38">
        <v>43572</v>
      </c>
      <c r="M18" s="46">
        <v>0.45833333333333331</v>
      </c>
      <c r="N18" s="3">
        <v>0</v>
      </c>
      <c r="P18" s="22">
        <v>43601</v>
      </c>
      <c r="Q18" s="22">
        <v>43602</v>
      </c>
      <c r="R18" s="64">
        <v>0.45833333333333331</v>
      </c>
      <c r="S18" s="41">
        <v>0</v>
      </c>
      <c r="U18" s="22">
        <v>43632</v>
      </c>
      <c r="V18" s="22">
        <v>43633</v>
      </c>
      <c r="W18" s="64">
        <v>0.45833333333333331</v>
      </c>
      <c r="X18" s="41">
        <v>0</v>
      </c>
      <c r="Z18" s="38">
        <v>43662</v>
      </c>
      <c r="AA18" s="38">
        <v>43663</v>
      </c>
      <c r="AB18" s="64">
        <v>0.45833333333333331</v>
      </c>
      <c r="AC18" s="81">
        <v>0</v>
      </c>
      <c r="AE18" s="38">
        <v>43693</v>
      </c>
      <c r="AF18" s="38">
        <v>43694</v>
      </c>
      <c r="AG18" s="64">
        <v>0.33055555555555555</v>
      </c>
      <c r="AH18" s="89">
        <v>8.4</v>
      </c>
      <c r="AJ18" s="38">
        <v>43724</v>
      </c>
      <c r="AK18" s="38">
        <v>43725</v>
      </c>
      <c r="AL18" s="64">
        <v>0.3125</v>
      </c>
      <c r="AM18" s="95">
        <v>0</v>
      </c>
      <c r="AO18" s="38">
        <v>43754</v>
      </c>
      <c r="AP18" s="38">
        <v>43755</v>
      </c>
      <c r="AQ18" s="64">
        <v>0.3125</v>
      </c>
      <c r="AR18" s="100">
        <v>0</v>
      </c>
      <c r="AT18" s="38">
        <v>43785</v>
      </c>
      <c r="AU18" s="38">
        <v>43786</v>
      </c>
      <c r="AV18" s="64">
        <v>0.3125</v>
      </c>
      <c r="AW18" s="106">
        <v>0</v>
      </c>
      <c r="AY18" s="38">
        <v>43815</v>
      </c>
      <c r="AZ18" s="38">
        <v>43816</v>
      </c>
      <c r="BA18" s="64">
        <v>0.3125</v>
      </c>
      <c r="BB18" s="106">
        <v>0</v>
      </c>
    </row>
    <row r="19" spans="1:54" x14ac:dyDescent="0.25">
      <c r="A19" s="32">
        <v>43521</v>
      </c>
      <c r="B19" s="32">
        <v>43522</v>
      </c>
      <c r="C19" s="36">
        <v>0.375</v>
      </c>
      <c r="D19" s="3">
        <v>0</v>
      </c>
      <c r="E19" s="12"/>
      <c r="F19" s="32">
        <v>43541</v>
      </c>
      <c r="G19" s="32">
        <v>43542</v>
      </c>
      <c r="H19" s="43">
        <v>0.45833333333333331</v>
      </c>
      <c r="I19" s="41">
        <v>0</v>
      </c>
      <c r="J19" s="12"/>
      <c r="K19" s="38">
        <v>43572</v>
      </c>
      <c r="L19" s="38">
        <v>43573</v>
      </c>
      <c r="M19" s="46">
        <v>0.45833333333333331</v>
      </c>
      <c r="N19" s="3">
        <v>0</v>
      </c>
      <c r="P19" s="22">
        <v>43602</v>
      </c>
      <c r="Q19" s="22">
        <v>43603</v>
      </c>
      <c r="R19" s="64">
        <v>0.30208333333333331</v>
      </c>
      <c r="S19" s="41">
        <v>38</v>
      </c>
      <c r="U19" s="22">
        <v>43633</v>
      </c>
      <c r="V19" s="22">
        <v>43634</v>
      </c>
      <c r="W19" s="64">
        <v>0.45833333333333331</v>
      </c>
      <c r="X19" s="41">
        <v>0</v>
      </c>
      <c r="Z19" s="38">
        <v>43663</v>
      </c>
      <c r="AA19" s="38">
        <v>43664</v>
      </c>
      <c r="AB19" s="64">
        <v>0.60069444444444442</v>
      </c>
      <c r="AC19" s="41">
        <v>29</v>
      </c>
      <c r="AE19" s="38">
        <v>43694</v>
      </c>
      <c r="AF19" s="38">
        <v>43695</v>
      </c>
      <c r="AG19" s="64">
        <v>0.45833333333333331</v>
      </c>
      <c r="AH19" s="89">
        <v>0</v>
      </c>
      <c r="AJ19" s="38">
        <v>43725</v>
      </c>
      <c r="AK19" s="38">
        <v>43726</v>
      </c>
      <c r="AL19" s="64">
        <v>0.3125</v>
      </c>
      <c r="AM19" s="95">
        <v>21.5</v>
      </c>
      <c r="AO19" s="38">
        <v>43755</v>
      </c>
      <c r="AP19" s="38">
        <v>43756</v>
      </c>
      <c r="AQ19" s="64">
        <v>0.29166666666666669</v>
      </c>
      <c r="AR19" s="100">
        <v>1</v>
      </c>
      <c r="AT19" s="38">
        <v>43786</v>
      </c>
      <c r="AU19" s="38">
        <v>43787</v>
      </c>
      <c r="AV19" s="64">
        <v>0.29166666666666669</v>
      </c>
      <c r="AW19" s="106">
        <v>0</v>
      </c>
      <c r="AY19" s="38">
        <v>43816</v>
      </c>
      <c r="AZ19" s="38">
        <v>43817</v>
      </c>
      <c r="BA19" s="64">
        <v>0.29166666666666669</v>
      </c>
      <c r="BB19" s="106">
        <v>0</v>
      </c>
    </row>
    <row r="20" spans="1:54" x14ac:dyDescent="0.25">
      <c r="A20" s="32">
        <v>43522</v>
      </c>
      <c r="B20" s="32">
        <v>43523</v>
      </c>
      <c r="C20" s="36">
        <v>0.375</v>
      </c>
      <c r="D20" s="3">
        <v>0</v>
      </c>
      <c r="E20" s="12"/>
      <c r="F20" s="32">
        <v>43542</v>
      </c>
      <c r="G20" s="32">
        <v>43543</v>
      </c>
      <c r="H20" s="43">
        <v>0.35069444444444442</v>
      </c>
      <c r="I20" s="41">
        <v>9.5</v>
      </c>
      <c r="J20" s="12"/>
      <c r="K20" s="38">
        <v>43573</v>
      </c>
      <c r="L20" s="38">
        <v>43574</v>
      </c>
      <c r="M20" s="46">
        <v>0.30972222222222223</v>
      </c>
      <c r="N20" s="3">
        <v>13.5</v>
      </c>
      <c r="P20" s="22">
        <v>43603</v>
      </c>
      <c r="Q20" s="22">
        <v>43604</v>
      </c>
      <c r="R20" s="64">
        <v>0.45833333333333331</v>
      </c>
      <c r="S20" s="41">
        <v>0</v>
      </c>
      <c r="U20" s="22">
        <v>43634</v>
      </c>
      <c r="V20" s="22">
        <v>43635</v>
      </c>
      <c r="W20" s="64">
        <v>0.45833333333333331</v>
      </c>
      <c r="X20" s="41">
        <v>0</v>
      </c>
      <c r="Z20" s="38">
        <v>43664</v>
      </c>
      <c r="AA20" s="38">
        <v>43665</v>
      </c>
      <c r="AB20" s="64">
        <v>0.46111111111111108</v>
      </c>
      <c r="AC20" s="81">
        <v>0</v>
      </c>
      <c r="AE20" s="38">
        <v>43695</v>
      </c>
      <c r="AF20" s="38">
        <v>43696</v>
      </c>
      <c r="AG20" s="64">
        <v>0.45833333333333331</v>
      </c>
      <c r="AH20" s="89">
        <v>0</v>
      </c>
      <c r="AJ20" s="38">
        <v>43726</v>
      </c>
      <c r="AK20" s="38">
        <v>43727</v>
      </c>
      <c r="AL20" s="64">
        <v>0.3125</v>
      </c>
      <c r="AM20" s="95">
        <v>0</v>
      </c>
      <c r="AO20" s="38">
        <v>43756</v>
      </c>
      <c r="AP20" s="38">
        <v>43757</v>
      </c>
      <c r="AQ20" s="64">
        <v>0.3125</v>
      </c>
      <c r="AR20" s="100">
        <v>1.5</v>
      </c>
      <c r="AT20" s="38">
        <v>43787</v>
      </c>
      <c r="AU20" s="38">
        <v>43788</v>
      </c>
      <c r="AV20" s="64">
        <v>0.3125</v>
      </c>
      <c r="AW20" s="106">
        <v>0</v>
      </c>
      <c r="AY20" s="38">
        <v>43817</v>
      </c>
      <c r="AZ20" s="38">
        <v>43818</v>
      </c>
      <c r="BA20" s="64">
        <v>0.3125</v>
      </c>
      <c r="BB20" s="106">
        <v>0</v>
      </c>
    </row>
    <row r="21" spans="1:54" x14ac:dyDescent="0.25">
      <c r="A21" s="32">
        <v>43523</v>
      </c>
      <c r="B21" s="32">
        <v>43524</v>
      </c>
      <c r="C21" s="36">
        <v>0.375</v>
      </c>
      <c r="D21" s="3">
        <v>0</v>
      </c>
      <c r="E21" s="12"/>
      <c r="F21" s="32">
        <v>43543</v>
      </c>
      <c r="G21" s="32">
        <v>43544</v>
      </c>
      <c r="H21" s="43">
        <v>0.45833333333333331</v>
      </c>
      <c r="I21" s="3">
        <v>0</v>
      </c>
      <c r="J21" s="12"/>
      <c r="K21" s="38">
        <v>43574</v>
      </c>
      <c r="L21" s="38">
        <v>43575</v>
      </c>
      <c r="M21" s="46">
        <v>0.45833333333333331</v>
      </c>
      <c r="N21" s="3">
        <v>0</v>
      </c>
      <c r="P21" s="22">
        <v>43604</v>
      </c>
      <c r="Q21" s="22">
        <v>43605</v>
      </c>
      <c r="R21" s="64">
        <v>0.45833333333333331</v>
      </c>
      <c r="S21" s="41">
        <v>0</v>
      </c>
      <c r="U21" s="22">
        <v>43635</v>
      </c>
      <c r="V21" s="22">
        <v>43636</v>
      </c>
      <c r="W21" s="64">
        <v>0.35486111111111113</v>
      </c>
      <c r="X21" s="41">
        <v>0.5</v>
      </c>
      <c r="Z21" s="38">
        <v>43665</v>
      </c>
      <c r="AA21" s="38">
        <v>43666</v>
      </c>
      <c r="AB21" s="64">
        <v>0.30902777777777779</v>
      </c>
      <c r="AC21" s="41">
        <v>10</v>
      </c>
      <c r="AE21" s="38">
        <v>43696</v>
      </c>
      <c r="AF21" s="38">
        <v>43697</v>
      </c>
      <c r="AG21" s="64">
        <v>0.34166666666666662</v>
      </c>
      <c r="AH21" s="89">
        <v>8</v>
      </c>
      <c r="AJ21" s="38">
        <v>43727</v>
      </c>
      <c r="AK21" s="38">
        <v>43728</v>
      </c>
      <c r="AL21" s="64">
        <v>0.3125</v>
      </c>
      <c r="AM21" s="95">
        <v>3.2</v>
      </c>
      <c r="AO21" s="38">
        <v>43757</v>
      </c>
      <c r="AP21" s="38">
        <v>43758</v>
      </c>
      <c r="AQ21" s="64">
        <v>0.3125</v>
      </c>
      <c r="AR21" s="100">
        <v>0</v>
      </c>
      <c r="AT21" s="38">
        <v>43788</v>
      </c>
      <c r="AU21" s="38">
        <v>43789</v>
      </c>
      <c r="AV21" s="64">
        <v>0.3125</v>
      </c>
      <c r="AW21" s="106">
        <v>0</v>
      </c>
      <c r="AY21" s="38">
        <v>43818</v>
      </c>
      <c r="AZ21" s="38">
        <v>43819</v>
      </c>
      <c r="BA21" s="64">
        <v>0.3125</v>
      </c>
      <c r="BB21" s="106">
        <v>0</v>
      </c>
    </row>
    <row r="22" spans="1:54" x14ac:dyDescent="0.25">
      <c r="A22" s="27"/>
      <c r="B22" s="128" t="s">
        <v>61</v>
      </c>
      <c r="C22" s="128"/>
      <c r="D22" s="65">
        <f>SUM(D3:D21)</f>
        <v>0</v>
      </c>
      <c r="E22" s="12"/>
      <c r="F22" s="32">
        <v>43544</v>
      </c>
      <c r="G22" s="32">
        <v>43545</v>
      </c>
      <c r="H22" s="43">
        <v>0.45833333333333331</v>
      </c>
      <c r="I22" s="3">
        <v>0</v>
      </c>
      <c r="J22" s="12"/>
      <c r="K22" s="38">
        <v>43575</v>
      </c>
      <c r="L22" s="38">
        <v>43576</v>
      </c>
      <c r="M22" s="49">
        <v>0.32847222222222222</v>
      </c>
      <c r="N22" s="3">
        <v>89</v>
      </c>
      <c r="P22" s="22">
        <v>43605</v>
      </c>
      <c r="Q22" s="22">
        <v>43606</v>
      </c>
      <c r="R22" s="64">
        <v>0.45833333333333331</v>
      </c>
      <c r="S22" s="41">
        <v>0</v>
      </c>
      <c r="U22" s="22">
        <v>43636</v>
      </c>
      <c r="V22" s="22">
        <v>43637</v>
      </c>
      <c r="W22" s="64">
        <v>0.30763888888888891</v>
      </c>
      <c r="X22" s="41">
        <v>4.2</v>
      </c>
      <c r="Z22" s="38">
        <v>43666</v>
      </c>
      <c r="AA22" s="38">
        <v>43667</v>
      </c>
      <c r="AB22" s="64">
        <v>0.45833333333333331</v>
      </c>
      <c r="AC22" s="81">
        <v>0</v>
      </c>
      <c r="AE22" s="38">
        <v>43697</v>
      </c>
      <c r="AF22" s="38">
        <v>43698</v>
      </c>
      <c r="AG22" s="64">
        <v>0.34236111111111112</v>
      </c>
      <c r="AH22" s="89">
        <v>2.5</v>
      </c>
      <c r="AJ22" s="38">
        <v>43728</v>
      </c>
      <c r="AK22" s="38">
        <v>43729</v>
      </c>
      <c r="AL22" s="64">
        <v>0.3125</v>
      </c>
      <c r="AM22" s="95">
        <v>3</v>
      </c>
      <c r="AO22" s="38">
        <v>43758</v>
      </c>
      <c r="AP22" s="38">
        <v>43759</v>
      </c>
      <c r="AQ22" s="64">
        <v>0.3125</v>
      </c>
      <c r="AR22" s="100">
        <v>0</v>
      </c>
      <c r="AT22" s="38">
        <v>43789</v>
      </c>
      <c r="AU22" s="38">
        <v>43790</v>
      </c>
      <c r="AV22" s="64">
        <v>0.3125</v>
      </c>
      <c r="AW22" s="106">
        <v>0</v>
      </c>
      <c r="AY22" s="38">
        <v>43819</v>
      </c>
      <c r="AZ22" s="38">
        <v>43820</v>
      </c>
      <c r="BA22" s="64">
        <v>0.3125</v>
      </c>
      <c r="BB22" s="106">
        <v>0</v>
      </c>
    </row>
    <row r="23" spans="1:54" x14ac:dyDescent="0.25">
      <c r="A23" s="27"/>
      <c r="B23" s="27"/>
      <c r="C23" s="28"/>
      <c r="D23" s="29"/>
      <c r="E23" s="12"/>
      <c r="F23" s="32">
        <v>43545</v>
      </c>
      <c r="G23" s="32">
        <v>43546</v>
      </c>
      <c r="H23" s="43">
        <v>0.45833333333333331</v>
      </c>
      <c r="I23" s="3">
        <v>0</v>
      </c>
      <c r="J23" s="12"/>
      <c r="K23" s="38">
        <v>43576</v>
      </c>
      <c r="L23" s="38">
        <v>43577</v>
      </c>
      <c r="M23" s="56">
        <v>0.45833333333333331</v>
      </c>
      <c r="N23" s="3">
        <v>0</v>
      </c>
      <c r="P23" s="22">
        <v>43606</v>
      </c>
      <c r="Q23" s="22">
        <v>43607</v>
      </c>
      <c r="R23" s="64">
        <v>0.31388888888888888</v>
      </c>
      <c r="S23" s="41">
        <v>36</v>
      </c>
      <c r="U23" s="22">
        <v>43637</v>
      </c>
      <c r="V23" s="22">
        <v>43638</v>
      </c>
      <c r="W23" s="64">
        <v>0.45833333333333331</v>
      </c>
      <c r="X23" s="41">
        <v>0</v>
      </c>
      <c r="Z23" s="38">
        <v>43667</v>
      </c>
      <c r="AA23" s="38">
        <v>43668</v>
      </c>
      <c r="AB23" s="64">
        <v>0.30763888888888891</v>
      </c>
      <c r="AC23" s="41">
        <v>37</v>
      </c>
      <c r="AE23" s="38">
        <v>43698</v>
      </c>
      <c r="AF23" s="38">
        <v>43699</v>
      </c>
      <c r="AG23" s="64">
        <v>0.45833333333333331</v>
      </c>
      <c r="AH23" s="89">
        <v>0</v>
      </c>
      <c r="AJ23" s="38">
        <v>43729</v>
      </c>
      <c r="AK23" s="38">
        <v>43730</v>
      </c>
      <c r="AL23" s="64">
        <v>0.3125</v>
      </c>
      <c r="AM23" s="95">
        <v>0</v>
      </c>
      <c r="AO23" s="38">
        <v>43759</v>
      </c>
      <c r="AP23" s="38">
        <v>43760</v>
      </c>
      <c r="AQ23" s="64">
        <v>0.3125</v>
      </c>
      <c r="AR23" s="100">
        <v>33.299999999999997</v>
      </c>
      <c r="AT23" s="38">
        <v>43790</v>
      </c>
      <c r="AU23" s="38">
        <v>43791</v>
      </c>
      <c r="AV23" s="64">
        <v>0.3125</v>
      </c>
      <c r="AW23" s="106">
        <v>0</v>
      </c>
      <c r="AY23" s="38">
        <v>43820</v>
      </c>
      <c r="AZ23" s="38">
        <v>43821</v>
      </c>
      <c r="BA23" s="64">
        <v>0.3125</v>
      </c>
      <c r="BB23" s="106">
        <v>0</v>
      </c>
    </row>
    <row r="24" spans="1:54" x14ac:dyDescent="0.25">
      <c r="A24" s="27"/>
      <c r="B24" s="27"/>
      <c r="C24" s="28"/>
      <c r="D24" s="29"/>
      <c r="E24" s="12"/>
      <c r="F24" s="32">
        <v>43546</v>
      </c>
      <c r="G24" s="32">
        <v>43547</v>
      </c>
      <c r="H24" s="43">
        <v>0.45833333333333331</v>
      </c>
      <c r="I24" s="3">
        <v>0</v>
      </c>
      <c r="J24" s="12"/>
      <c r="K24" s="38">
        <v>43577</v>
      </c>
      <c r="L24" s="38">
        <v>43578</v>
      </c>
      <c r="M24" s="57">
        <v>0.45833333333333331</v>
      </c>
      <c r="N24" s="3">
        <v>0</v>
      </c>
      <c r="P24" s="22">
        <v>43607</v>
      </c>
      <c r="Q24" s="22">
        <v>43608</v>
      </c>
      <c r="R24" s="64">
        <v>0.45833333333333331</v>
      </c>
      <c r="S24" s="41">
        <v>0</v>
      </c>
      <c r="U24" s="22">
        <v>43638</v>
      </c>
      <c r="V24" s="22">
        <v>43639</v>
      </c>
      <c r="W24" s="64">
        <v>0.30416666666666664</v>
      </c>
      <c r="X24" s="41">
        <v>13</v>
      </c>
      <c r="Z24" s="38">
        <v>43668</v>
      </c>
      <c r="AA24" s="38">
        <v>43669</v>
      </c>
      <c r="AB24" s="64">
        <v>0.45833333333333331</v>
      </c>
      <c r="AC24" s="81">
        <v>0</v>
      </c>
      <c r="AE24" s="38">
        <v>43699</v>
      </c>
      <c r="AF24" s="38">
        <v>43700</v>
      </c>
      <c r="AG24" s="64">
        <v>0.45833333333333331</v>
      </c>
      <c r="AH24" s="89">
        <v>0</v>
      </c>
      <c r="AJ24" s="38">
        <v>43730</v>
      </c>
      <c r="AK24" s="38">
        <v>43731</v>
      </c>
      <c r="AL24" s="64">
        <v>0.3125</v>
      </c>
      <c r="AM24" s="95">
        <v>0</v>
      </c>
      <c r="AO24" s="38">
        <v>43760</v>
      </c>
      <c r="AP24" s="38">
        <v>43761</v>
      </c>
      <c r="AQ24" s="64">
        <v>0.3125</v>
      </c>
      <c r="AR24" s="100">
        <v>0</v>
      </c>
      <c r="AT24" s="38">
        <v>43791</v>
      </c>
      <c r="AU24" s="38">
        <v>43792</v>
      </c>
      <c r="AV24" s="64">
        <v>0.3125</v>
      </c>
      <c r="AW24" s="106">
        <v>0</v>
      </c>
      <c r="AY24" s="38">
        <v>43821</v>
      </c>
      <c r="AZ24" s="38">
        <v>43822</v>
      </c>
      <c r="BA24" s="64">
        <v>0.3125</v>
      </c>
      <c r="BB24" s="106">
        <v>0</v>
      </c>
    </row>
    <row r="25" spans="1:54" x14ac:dyDescent="0.25">
      <c r="A25" s="27"/>
      <c r="B25" s="27"/>
      <c r="C25" s="28"/>
      <c r="D25" s="29"/>
      <c r="E25" s="12"/>
      <c r="F25" s="32">
        <v>43547</v>
      </c>
      <c r="G25" s="32">
        <v>43548</v>
      </c>
      <c r="H25" s="43">
        <v>0.45833333333333331</v>
      </c>
      <c r="I25" s="3">
        <v>0</v>
      </c>
      <c r="J25" s="12"/>
      <c r="K25" s="38">
        <v>43578</v>
      </c>
      <c r="L25" s="38">
        <v>43579</v>
      </c>
      <c r="M25" s="57">
        <v>0.45833333333333331</v>
      </c>
      <c r="N25" s="3">
        <v>0</v>
      </c>
      <c r="P25" s="22">
        <v>43608</v>
      </c>
      <c r="Q25" s="22">
        <v>43609</v>
      </c>
      <c r="R25" s="64">
        <v>0.45833333333333331</v>
      </c>
      <c r="S25" s="41">
        <v>0</v>
      </c>
      <c r="U25" s="22">
        <v>43639</v>
      </c>
      <c r="V25" s="22">
        <v>43640</v>
      </c>
      <c r="W25" s="64">
        <v>0.45833333333333331</v>
      </c>
      <c r="X25" s="41">
        <v>0</v>
      </c>
      <c r="Z25" s="38">
        <v>43669</v>
      </c>
      <c r="AA25" s="38">
        <v>43670</v>
      </c>
      <c r="AB25" s="64">
        <v>0.45833333333333331</v>
      </c>
      <c r="AC25" s="81">
        <v>0</v>
      </c>
      <c r="AE25" s="38">
        <v>43700</v>
      </c>
      <c r="AF25" s="38">
        <v>43701</v>
      </c>
      <c r="AG25" s="64">
        <v>0.30486111111111108</v>
      </c>
      <c r="AH25" s="89">
        <v>42.5</v>
      </c>
      <c r="AJ25" s="38">
        <v>43731</v>
      </c>
      <c r="AK25" s="38">
        <v>43732</v>
      </c>
      <c r="AL25" s="64">
        <v>0.3125</v>
      </c>
      <c r="AM25" s="95">
        <v>6.4</v>
      </c>
      <c r="AO25" s="38">
        <v>43761</v>
      </c>
      <c r="AP25" s="38">
        <v>43762</v>
      </c>
      <c r="AQ25" s="64">
        <v>0.3125</v>
      </c>
      <c r="AR25" s="100">
        <v>0</v>
      </c>
      <c r="AT25" s="38">
        <v>43792</v>
      </c>
      <c r="AU25" s="38">
        <v>43793</v>
      </c>
      <c r="AV25" s="64">
        <v>0.3125</v>
      </c>
      <c r="AW25" s="106">
        <v>0</v>
      </c>
      <c r="AY25" s="38">
        <v>43822</v>
      </c>
      <c r="AZ25" s="38">
        <v>43823</v>
      </c>
      <c r="BA25" s="64">
        <v>0.3125</v>
      </c>
      <c r="BB25" s="106">
        <v>0</v>
      </c>
    </row>
    <row r="26" spans="1:54" x14ac:dyDescent="0.25">
      <c r="A26" s="27"/>
      <c r="B26" s="27"/>
      <c r="C26" s="28"/>
      <c r="D26" s="29"/>
      <c r="E26" s="12"/>
      <c r="F26" s="32">
        <v>43548</v>
      </c>
      <c r="G26" s="32">
        <v>43549</v>
      </c>
      <c r="H26" s="43">
        <v>0.45833333333333331</v>
      </c>
      <c r="I26" s="3">
        <v>0</v>
      </c>
      <c r="J26" s="12"/>
      <c r="K26" s="38">
        <v>43579</v>
      </c>
      <c r="L26" s="38">
        <v>43580</v>
      </c>
      <c r="M26" s="62">
        <v>0.45833333333333331</v>
      </c>
      <c r="N26" s="3">
        <v>0</v>
      </c>
      <c r="P26" s="22">
        <v>43609</v>
      </c>
      <c r="Q26" s="22">
        <v>43610</v>
      </c>
      <c r="R26" s="64">
        <v>0.31111111111111112</v>
      </c>
      <c r="S26" s="41">
        <v>32.6</v>
      </c>
      <c r="U26" s="22">
        <v>43640</v>
      </c>
      <c r="V26" s="22">
        <v>43641</v>
      </c>
      <c r="W26" s="64">
        <v>0.30208333333333331</v>
      </c>
      <c r="X26" s="41">
        <v>29.5</v>
      </c>
      <c r="Z26" s="38">
        <v>43670</v>
      </c>
      <c r="AA26" s="38">
        <v>43671</v>
      </c>
      <c r="AB26" s="64">
        <v>0.56388888888888888</v>
      </c>
      <c r="AC26" s="41">
        <v>3</v>
      </c>
      <c r="AE26" s="38">
        <v>43701</v>
      </c>
      <c r="AF26" s="38">
        <v>43702</v>
      </c>
      <c r="AG26" s="64">
        <v>0.3125</v>
      </c>
      <c r="AH26" s="89">
        <v>5</v>
      </c>
      <c r="AJ26" s="38">
        <v>43732</v>
      </c>
      <c r="AK26" s="38">
        <v>43733</v>
      </c>
      <c r="AL26" s="64">
        <v>0.3125</v>
      </c>
      <c r="AM26" s="95">
        <v>11.2</v>
      </c>
      <c r="AO26" s="38">
        <v>43762</v>
      </c>
      <c r="AP26" s="38">
        <v>43763</v>
      </c>
      <c r="AQ26" s="64">
        <v>0.3125</v>
      </c>
      <c r="AR26" s="100">
        <v>0</v>
      </c>
      <c r="AT26" s="38">
        <v>43793</v>
      </c>
      <c r="AU26" s="38">
        <v>43794</v>
      </c>
      <c r="AV26" s="64">
        <v>0.3125</v>
      </c>
      <c r="AW26" s="106">
        <v>0</v>
      </c>
      <c r="AY26" s="38">
        <v>43823</v>
      </c>
      <c r="AZ26" s="38">
        <v>43824</v>
      </c>
      <c r="BA26" s="64">
        <v>0.3125</v>
      </c>
      <c r="BB26" s="106">
        <v>0</v>
      </c>
    </row>
    <row r="27" spans="1:54" x14ac:dyDescent="0.25">
      <c r="A27" s="27"/>
      <c r="B27" s="27"/>
      <c r="C27" s="28"/>
      <c r="D27" s="29"/>
      <c r="E27" s="12"/>
      <c r="F27" s="32">
        <v>43549</v>
      </c>
      <c r="G27" s="32">
        <v>43550</v>
      </c>
      <c r="H27" s="43">
        <v>0.45833333333333331</v>
      </c>
      <c r="I27" s="3">
        <v>0</v>
      </c>
      <c r="J27" s="12"/>
      <c r="K27" s="38">
        <v>43580</v>
      </c>
      <c r="L27" s="38">
        <v>43581</v>
      </c>
      <c r="M27" s="62">
        <v>0.45833333333333331</v>
      </c>
      <c r="N27" s="3">
        <v>0</v>
      </c>
      <c r="P27" s="22">
        <v>43610</v>
      </c>
      <c r="Q27" s="22">
        <v>43611</v>
      </c>
      <c r="R27" s="64">
        <v>0.45833333333333331</v>
      </c>
      <c r="S27" s="41">
        <v>0</v>
      </c>
      <c r="U27" s="22">
        <v>43641</v>
      </c>
      <c r="V27" s="22">
        <v>43642</v>
      </c>
      <c r="W27" s="64">
        <v>0.45833333333333331</v>
      </c>
      <c r="X27" s="41">
        <v>0</v>
      </c>
      <c r="Z27" s="38">
        <v>43671</v>
      </c>
      <c r="AA27" s="38">
        <v>43672</v>
      </c>
      <c r="AB27" s="64">
        <v>0.45833333333333331</v>
      </c>
      <c r="AC27" s="81">
        <v>0</v>
      </c>
      <c r="AE27" s="38">
        <v>43702</v>
      </c>
      <c r="AF27" s="38">
        <v>43703</v>
      </c>
      <c r="AG27" s="64">
        <v>0.3125</v>
      </c>
      <c r="AH27" s="89">
        <v>16</v>
      </c>
      <c r="AJ27" s="38">
        <v>43733</v>
      </c>
      <c r="AK27" s="38">
        <v>43734</v>
      </c>
      <c r="AL27" s="64">
        <v>0.3125</v>
      </c>
      <c r="AM27" s="95">
        <v>0</v>
      </c>
      <c r="AO27" s="38">
        <v>43763</v>
      </c>
      <c r="AP27" s="38">
        <v>43764</v>
      </c>
      <c r="AQ27" s="64">
        <v>0.3125</v>
      </c>
      <c r="AR27" s="100">
        <v>0</v>
      </c>
      <c r="AT27" s="38">
        <v>43794</v>
      </c>
      <c r="AU27" s="38">
        <v>43795</v>
      </c>
      <c r="AV27" s="64">
        <v>0.3125</v>
      </c>
      <c r="AW27" s="106">
        <v>0</v>
      </c>
      <c r="AY27" s="38">
        <v>43824</v>
      </c>
      <c r="AZ27" s="38">
        <v>43825</v>
      </c>
      <c r="BA27" s="64">
        <v>0.3125</v>
      </c>
      <c r="BB27" s="106">
        <v>0</v>
      </c>
    </row>
    <row r="28" spans="1:54" x14ac:dyDescent="0.25">
      <c r="A28" s="27"/>
      <c r="B28" s="27"/>
      <c r="C28" s="28"/>
      <c r="D28" s="29"/>
      <c r="E28" s="12"/>
      <c r="F28" s="32">
        <v>43550</v>
      </c>
      <c r="G28" s="32">
        <v>43551</v>
      </c>
      <c r="H28" s="43">
        <v>0.32916666666666666</v>
      </c>
      <c r="I28" s="3">
        <v>9.5</v>
      </c>
      <c r="J28" s="12"/>
      <c r="K28" s="38">
        <v>43581</v>
      </c>
      <c r="L28" s="38">
        <v>43582</v>
      </c>
      <c r="M28" s="62">
        <v>0.45833333333333331</v>
      </c>
      <c r="N28" s="3">
        <v>0</v>
      </c>
      <c r="P28" s="22">
        <v>43611</v>
      </c>
      <c r="Q28" s="22">
        <v>43612</v>
      </c>
      <c r="R28" s="64">
        <v>0.45833333333333331</v>
      </c>
      <c r="S28" s="41">
        <v>0</v>
      </c>
      <c r="U28" s="22">
        <v>43642</v>
      </c>
      <c r="V28" s="22">
        <v>43643</v>
      </c>
      <c r="W28" s="64">
        <v>0.45833333333333331</v>
      </c>
      <c r="X28" s="41">
        <v>0</v>
      </c>
      <c r="Z28" s="38">
        <v>43672</v>
      </c>
      <c r="AA28" s="38">
        <v>43673</v>
      </c>
      <c r="AB28" s="64">
        <v>0.45833333333333331</v>
      </c>
      <c r="AC28" s="81">
        <v>0</v>
      </c>
      <c r="AE28" s="38">
        <v>43703</v>
      </c>
      <c r="AF28" s="38">
        <v>43704</v>
      </c>
      <c r="AG28" s="64">
        <v>0.32847222222222222</v>
      </c>
      <c r="AH28" s="89">
        <v>3.2</v>
      </c>
      <c r="AJ28" s="38">
        <v>43734</v>
      </c>
      <c r="AK28" s="38">
        <v>43735</v>
      </c>
      <c r="AL28" s="64">
        <v>0.3125</v>
      </c>
      <c r="AM28" s="95">
        <v>0</v>
      </c>
      <c r="AO28" s="38">
        <v>43764</v>
      </c>
      <c r="AP28" s="38">
        <v>43765</v>
      </c>
      <c r="AQ28" s="64">
        <v>0.3125</v>
      </c>
      <c r="AR28" s="100">
        <v>0</v>
      </c>
      <c r="AT28" s="38">
        <v>43795</v>
      </c>
      <c r="AU28" s="38">
        <v>43796</v>
      </c>
      <c r="AV28" s="64">
        <v>0.3125</v>
      </c>
      <c r="AW28" s="106">
        <v>0</v>
      </c>
      <c r="AY28" s="38">
        <v>43825</v>
      </c>
      <c r="AZ28" s="38">
        <v>43826</v>
      </c>
      <c r="BA28" s="64">
        <v>0.3125</v>
      </c>
      <c r="BB28" s="106">
        <v>0</v>
      </c>
    </row>
    <row r="29" spans="1:54" x14ac:dyDescent="0.25">
      <c r="A29" s="27"/>
      <c r="B29" s="27"/>
      <c r="C29" s="28"/>
      <c r="D29" s="29"/>
      <c r="E29" s="12"/>
      <c r="F29" s="32">
        <v>43551</v>
      </c>
      <c r="G29" s="32">
        <v>43552</v>
      </c>
      <c r="H29" s="43">
        <v>0.45833333333333331</v>
      </c>
      <c r="I29" s="3">
        <v>0</v>
      </c>
      <c r="J29" s="12"/>
      <c r="K29" s="38">
        <v>43582</v>
      </c>
      <c r="L29" s="38">
        <v>43583</v>
      </c>
      <c r="M29" s="62">
        <v>0.45833333333333331</v>
      </c>
      <c r="N29" s="3">
        <v>0</v>
      </c>
      <c r="P29" s="22">
        <v>43612</v>
      </c>
      <c r="Q29" s="22">
        <v>43613</v>
      </c>
      <c r="R29" s="64">
        <v>0.30277777777777776</v>
      </c>
      <c r="S29" s="41">
        <v>4</v>
      </c>
      <c r="U29" s="22">
        <v>43643</v>
      </c>
      <c r="V29" s="22">
        <v>43644</v>
      </c>
      <c r="W29" s="64">
        <v>0.45833333333333331</v>
      </c>
      <c r="X29" s="41">
        <v>0</v>
      </c>
      <c r="Z29" s="38">
        <v>43673</v>
      </c>
      <c r="AA29" s="38">
        <v>43674</v>
      </c>
      <c r="AB29" s="64">
        <v>0.29166666666666669</v>
      </c>
      <c r="AC29" s="41">
        <v>13</v>
      </c>
      <c r="AE29" s="38">
        <v>43704</v>
      </c>
      <c r="AF29" s="38">
        <v>43705</v>
      </c>
      <c r="AG29" s="64">
        <v>0.74305555555555547</v>
      </c>
      <c r="AH29" s="89">
        <v>0</v>
      </c>
      <c r="AJ29" s="38">
        <v>43735</v>
      </c>
      <c r="AK29" s="38">
        <v>43736</v>
      </c>
      <c r="AL29" s="64">
        <v>0.3125</v>
      </c>
      <c r="AM29" s="95">
        <v>3.5</v>
      </c>
      <c r="AO29" s="38">
        <v>43765</v>
      </c>
      <c r="AP29" s="38">
        <v>43766</v>
      </c>
      <c r="AQ29" s="64">
        <v>0.3125</v>
      </c>
      <c r="AR29" s="100">
        <v>0</v>
      </c>
      <c r="AT29" s="38">
        <v>43796</v>
      </c>
      <c r="AU29" s="38">
        <v>43797</v>
      </c>
      <c r="AV29" s="64">
        <v>0.3125</v>
      </c>
      <c r="AW29" s="106">
        <v>0</v>
      </c>
      <c r="AY29" s="38">
        <v>43826</v>
      </c>
      <c r="AZ29" s="38">
        <v>43827</v>
      </c>
      <c r="BA29" s="64">
        <v>0.3125</v>
      </c>
      <c r="BB29" s="106"/>
    </row>
    <row r="30" spans="1:54" x14ac:dyDescent="0.25">
      <c r="A30" s="27"/>
      <c r="B30" s="27"/>
      <c r="C30" s="28"/>
      <c r="D30" s="29"/>
      <c r="E30" s="12"/>
      <c r="F30" s="32">
        <v>43552</v>
      </c>
      <c r="G30" s="32">
        <v>43553</v>
      </c>
      <c r="H30" s="43">
        <v>0.45833333333333331</v>
      </c>
      <c r="I30" s="3">
        <v>0</v>
      </c>
      <c r="J30" s="12"/>
      <c r="K30" s="38">
        <v>43583</v>
      </c>
      <c r="L30" s="38">
        <v>43584</v>
      </c>
      <c r="M30" s="62">
        <v>0.35625000000000001</v>
      </c>
      <c r="N30" s="3">
        <v>33</v>
      </c>
      <c r="P30" s="22">
        <v>43613</v>
      </c>
      <c r="Q30" s="22">
        <v>43614</v>
      </c>
      <c r="R30" s="64">
        <v>0.45833333333333331</v>
      </c>
      <c r="S30" s="41">
        <v>0</v>
      </c>
      <c r="U30" s="22">
        <v>43644</v>
      </c>
      <c r="V30" s="22">
        <v>43645</v>
      </c>
      <c r="W30" s="64">
        <v>0.45833333333333331</v>
      </c>
      <c r="X30" s="41">
        <v>0</v>
      </c>
      <c r="Z30" s="38">
        <v>43674</v>
      </c>
      <c r="AA30" s="38">
        <v>43675</v>
      </c>
      <c r="AB30" s="64">
        <v>0.45833333333333331</v>
      </c>
      <c r="AC30" s="81">
        <v>0</v>
      </c>
      <c r="AE30" s="38">
        <v>43705</v>
      </c>
      <c r="AF30" s="38">
        <v>43706</v>
      </c>
      <c r="AG30" s="64">
        <v>0.4236111111111111</v>
      </c>
      <c r="AH30" s="89">
        <v>5</v>
      </c>
      <c r="AJ30" s="38">
        <v>43736</v>
      </c>
      <c r="AK30" s="38">
        <v>43737</v>
      </c>
      <c r="AL30" s="64">
        <v>0.3125</v>
      </c>
      <c r="AM30" s="95">
        <v>0</v>
      </c>
      <c r="AO30" s="38">
        <v>43766</v>
      </c>
      <c r="AP30" s="38">
        <v>43767</v>
      </c>
      <c r="AQ30" s="64">
        <v>0.3125</v>
      </c>
      <c r="AR30" s="100">
        <v>0</v>
      </c>
      <c r="AT30" s="38">
        <v>43797</v>
      </c>
      <c r="AU30" s="38">
        <v>43798</v>
      </c>
      <c r="AV30" s="64">
        <v>0.3125</v>
      </c>
      <c r="AW30" s="106">
        <v>0</v>
      </c>
      <c r="AY30" s="38">
        <v>43827</v>
      </c>
      <c r="AZ30" s="38">
        <v>43828</v>
      </c>
      <c r="BA30" s="64">
        <v>0.3125</v>
      </c>
      <c r="BB30" s="106"/>
    </row>
    <row r="31" spans="1:54" x14ac:dyDescent="0.25">
      <c r="A31" s="27"/>
      <c r="B31" s="27"/>
      <c r="C31" s="28"/>
      <c r="D31" s="29"/>
      <c r="E31" s="12"/>
      <c r="F31" s="32">
        <v>43553</v>
      </c>
      <c r="G31" s="32">
        <v>43554</v>
      </c>
      <c r="H31" s="43">
        <v>0.45833333333333331</v>
      </c>
      <c r="I31" s="3">
        <v>0</v>
      </c>
      <c r="J31" s="12"/>
      <c r="K31" s="38">
        <v>43584</v>
      </c>
      <c r="L31" s="38">
        <v>43585</v>
      </c>
      <c r="M31" s="66">
        <v>0.45833333333333331</v>
      </c>
      <c r="N31" s="24">
        <v>0</v>
      </c>
      <c r="P31" s="22">
        <v>43614</v>
      </c>
      <c r="Q31" s="22">
        <v>43615</v>
      </c>
      <c r="R31" s="64">
        <v>0.45833333333333331</v>
      </c>
      <c r="S31" s="41">
        <v>0</v>
      </c>
      <c r="U31" s="22">
        <v>43645</v>
      </c>
      <c r="V31" s="22">
        <v>43646</v>
      </c>
      <c r="W31" s="64">
        <v>0.45833333333333331</v>
      </c>
      <c r="X31" s="41">
        <v>0</v>
      </c>
      <c r="Z31" s="38">
        <v>43675</v>
      </c>
      <c r="AA31" s="38">
        <v>43676</v>
      </c>
      <c r="AB31" s="64">
        <v>0.45833333333333331</v>
      </c>
      <c r="AC31" s="81">
        <v>0</v>
      </c>
      <c r="AE31" s="38">
        <v>43706</v>
      </c>
      <c r="AF31" s="38">
        <v>43707</v>
      </c>
      <c r="AG31" s="64">
        <v>0.45833333333333331</v>
      </c>
      <c r="AH31" s="89">
        <v>2</v>
      </c>
      <c r="AJ31" s="38">
        <v>43737</v>
      </c>
      <c r="AK31" s="38">
        <v>43738</v>
      </c>
      <c r="AL31" s="64">
        <v>0.3125</v>
      </c>
      <c r="AM31" s="95">
        <v>0</v>
      </c>
      <c r="AO31" s="38">
        <v>43767</v>
      </c>
      <c r="AP31" s="38">
        <v>43768</v>
      </c>
      <c r="AQ31" s="64">
        <v>0.3125</v>
      </c>
      <c r="AR31" s="100">
        <v>0</v>
      </c>
      <c r="AT31" s="38">
        <v>43798</v>
      </c>
      <c r="AU31" s="38">
        <v>43799</v>
      </c>
      <c r="AV31" s="64">
        <v>0.3125</v>
      </c>
      <c r="AW31" s="106">
        <v>0</v>
      </c>
      <c r="AY31" s="38">
        <v>43828</v>
      </c>
      <c r="AZ31" s="38">
        <v>43829</v>
      </c>
      <c r="BA31" s="64">
        <v>0.3125</v>
      </c>
      <c r="BB31" s="106"/>
    </row>
    <row r="32" spans="1:54" x14ac:dyDescent="0.25">
      <c r="A32" s="27"/>
      <c r="B32" s="27"/>
      <c r="C32" s="28"/>
      <c r="D32" s="29"/>
      <c r="E32" s="12"/>
      <c r="F32" s="32">
        <v>43554</v>
      </c>
      <c r="G32" s="32">
        <v>43555</v>
      </c>
      <c r="H32" s="43">
        <v>0.4548611111111111</v>
      </c>
      <c r="I32" s="3">
        <v>47</v>
      </c>
      <c r="J32" s="12"/>
      <c r="K32" s="38">
        <v>43585</v>
      </c>
      <c r="L32" s="38">
        <v>43586</v>
      </c>
      <c r="M32" s="64">
        <v>0.45833333333333331</v>
      </c>
      <c r="N32" s="3">
        <v>0</v>
      </c>
      <c r="P32" s="22">
        <v>43615</v>
      </c>
      <c r="Q32" s="22">
        <v>43616</v>
      </c>
      <c r="R32" s="64">
        <v>0.32013888888888892</v>
      </c>
      <c r="S32" s="41">
        <v>35.200000000000003</v>
      </c>
      <c r="U32" s="22">
        <v>43646</v>
      </c>
      <c r="V32" s="22">
        <v>43647</v>
      </c>
      <c r="W32" s="64">
        <v>0.45833333333333331</v>
      </c>
      <c r="X32" s="41">
        <v>0</v>
      </c>
      <c r="Z32" s="38">
        <v>43676</v>
      </c>
      <c r="AA32" s="38">
        <v>43677</v>
      </c>
      <c r="AB32" s="43">
        <v>0.29166666666666669</v>
      </c>
      <c r="AC32" s="41">
        <v>32</v>
      </c>
      <c r="AE32" s="38">
        <v>43707</v>
      </c>
      <c r="AF32" s="38">
        <v>43708</v>
      </c>
      <c r="AG32" s="64">
        <v>0.45833333333333331</v>
      </c>
      <c r="AH32" s="92">
        <v>0</v>
      </c>
      <c r="AJ32" s="38">
        <v>43738</v>
      </c>
      <c r="AK32" s="38">
        <v>43739</v>
      </c>
      <c r="AL32" s="64">
        <v>0.3125</v>
      </c>
      <c r="AM32" s="95">
        <v>17.5</v>
      </c>
      <c r="AO32" s="38">
        <v>43768</v>
      </c>
      <c r="AP32" s="38">
        <v>43769</v>
      </c>
      <c r="AQ32" s="64">
        <v>0.3125</v>
      </c>
      <c r="AR32" s="100">
        <v>0</v>
      </c>
      <c r="AT32" s="38">
        <v>43799</v>
      </c>
      <c r="AU32" s="38">
        <v>43800</v>
      </c>
      <c r="AV32" s="64">
        <v>0.3125</v>
      </c>
      <c r="AW32" s="106">
        <v>0</v>
      </c>
      <c r="AY32" s="38">
        <v>43829</v>
      </c>
      <c r="AZ32" s="38">
        <v>43830</v>
      </c>
      <c r="BA32" s="64">
        <v>0.3125</v>
      </c>
      <c r="BB32" s="106"/>
    </row>
    <row r="33" spans="1:54" x14ac:dyDescent="0.25">
      <c r="A33" s="27"/>
      <c r="B33" s="27"/>
      <c r="C33" s="28"/>
      <c r="D33" s="29"/>
      <c r="E33" s="12"/>
      <c r="F33" s="32">
        <v>43555</v>
      </c>
      <c r="G33" s="32">
        <v>43556</v>
      </c>
      <c r="H33" s="48">
        <v>0.45833333333333331</v>
      </c>
      <c r="I33" s="78">
        <v>0</v>
      </c>
      <c r="J33" s="12"/>
      <c r="K33" s="31"/>
      <c r="L33" s="129" t="s">
        <v>59</v>
      </c>
      <c r="M33" s="130"/>
      <c r="N33" s="69">
        <f>SUM(N2:N32)</f>
        <v>136.5</v>
      </c>
      <c r="O33" s="12"/>
      <c r="P33" s="22">
        <v>43616</v>
      </c>
      <c r="Q33" s="67">
        <v>43617</v>
      </c>
      <c r="R33" s="66">
        <v>0.45833333333333331</v>
      </c>
      <c r="S33" s="24">
        <v>0</v>
      </c>
      <c r="U33" s="31"/>
      <c r="V33" s="129" t="s">
        <v>65</v>
      </c>
      <c r="W33" s="130"/>
      <c r="X33" s="75">
        <f>SUM(X3:X32)</f>
        <v>127.2</v>
      </c>
      <c r="Z33" s="38">
        <v>43677</v>
      </c>
      <c r="AA33" s="38">
        <v>43678</v>
      </c>
      <c r="AB33" s="64">
        <v>0.3125</v>
      </c>
      <c r="AC33" s="81">
        <v>57.5</v>
      </c>
      <c r="AE33" s="38">
        <v>43708</v>
      </c>
      <c r="AF33" s="38">
        <v>43709</v>
      </c>
      <c r="AG33" s="64">
        <v>0.3263888888888889</v>
      </c>
      <c r="AH33" s="89">
        <v>7.5</v>
      </c>
      <c r="AJ33" s="96"/>
      <c r="AK33" s="125" t="s">
        <v>77</v>
      </c>
      <c r="AL33" s="127"/>
      <c r="AM33" s="94">
        <f>SUM(AM3:AM32)</f>
        <v>245.79999999999998</v>
      </c>
      <c r="AO33" s="38">
        <v>43769</v>
      </c>
      <c r="AP33" s="38">
        <v>43770</v>
      </c>
      <c r="AQ33" s="64">
        <v>0.3125</v>
      </c>
      <c r="AR33" s="100">
        <v>5</v>
      </c>
      <c r="AT33" s="12"/>
      <c r="AU33" s="125" t="s">
        <v>82</v>
      </c>
      <c r="AV33" s="127"/>
      <c r="AW33" s="105">
        <f>SUM(AW3:AW32)</f>
        <v>4.5</v>
      </c>
      <c r="AY33" s="38">
        <v>43830</v>
      </c>
      <c r="AZ33" s="38">
        <v>43831</v>
      </c>
      <c r="BA33" s="64">
        <v>0.3125</v>
      </c>
      <c r="BB33" s="105"/>
    </row>
    <row r="34" spans="1:54" x14ac:dyDescent="0.25">
      <c r="A34" s="122"/>
      <c r="B34" s="122"/>
      <c r="C34" s="122"/>
      <c r="D34" s="35"/>
      <c r="E34" s="12" t="s">
        <v>62</v>
      </c>
      <c r="F34" s="12"/>
      <c r="G34" s="125" t="s">
        <v>51</v>
      </c>
      <c r="H34" s="125"/>
      <c r="I34" s="69">
        <f>SUM(I3:I33)</f>
        <v>66</v>
      </c>
      <c r="J34" s="12"/>
      <c r="K34" s="123"/>
      <c r="L34" s="123"/>
      <c r="M34" s="123"/>
      <c r="N34" s="35"/>
      <c r="P34" s="31"/>
      <c r="Q34" s="125" t="s">
        <v>60</v>
      </c>
      <c r="R34" s="125"/>
      <c r="S34" s="69">
        <f>SUM(S3:S33)</f>
        <v>161.39999999999998</v>
      </c>
      <c r="Z34" s="12"/>
      <c r="AA34" s="125" t="s">
        <v>70</v>
      </c>
      <c r="AB34" s="125"/>
      <c r="AC34" s="76">
        <f>SUM(AC3:AC33)</f>
        <v>218</v>
      </c>
      <c r="AE34" s="12"/>
      <c r="AF34" s="125" t="s">
        <v>74</v>
      </c>
      <c r="AG34" s="127"/>
      <c r="AH34" s="88">
        <f>SUM(AH3:AH33)</f>
        <v>159.6</v>
      </c>
      <c r="AJ34" s="12"/>
      <c r="AK34" s="131"/>
      <c r="AL34" s="132"/>
      <c r="AM34" s="97"/>
      <c r="AO34" s="12"/>
      <c r="AP34" s="125" t="s">
        <v>81</v>
      </c>
      <c r="AQ34" s="127"/>
      <c r="AR34" s="99">
        <f>SUM(AR3:AR33)</f>
        <v>85.699999999999989</v>
      </c>
      <c r="AY34" s="12"/>
      <c r="AZ34" s="125" t="s">
        <v>83</v>
      </c>
      <c r="BA34" s="127"/>
      <c r="BB34" s="107">
        <f>SUM(BB3:BB33)</f>
        <v>0</v>
      </c>
    </row>
    <row r="37" spans="1:54" x14ac:dyDescent="0.25">
      <c r="G37" s="12">
        <f>SUM(I34,N33,S34,X33,AC34,AH34,AM33,AR34,AW33,BB34)</f>
        <v>1204.7</v>
      </c>
    </row>
  </sheetData>
  <mergeCells count="25">
    <mergeCell ref="AT1:AW1"/>
    <mergeCell ref="AU33:AV33"/>
    <mergeCell ref="AY1:BB1"/>
    <mergeCell ref="AZ34:BA34"/>
    <mergeCell ref="AO1:AR1"/>
    <mergeCell ref="AP34:AQ34"/>
    <mergeCell ref="Z1:AC1"/>
    <mergeCell ref="AA34:AB34"/>
    <mergeCell ref="U1:X1"/>
    <mergeCell ref="V33:W33"/>
    <mergeCell ref="AJ1:AM1"/>
    <mergeCell ref="AK34:AL34"/>
    <mergeCell ref="AK33:AL33"/>
    <mergeCell ref="AE1:AH1"/>
    <mergeCell ref="AF34:AG34"/>
    <mergeCell ref="P1:S1"/>
    <mergeCell ref="Q34:R34"/>
    <mergeCell ref="A1:D1"/>
    <mergeCell ref="F1:I1"/>
    <mergeCell ref="K1:N1"/>
    <mergeCell ref="A34:C34"/>
    <mergeCell ref="K34:M34"/>
    <mergeCell ref="B22:C22"/>
    <mergeCell ref="G34:H34"/>
    <mergeCell ref="L33:M3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4"/>
  <sheetViews>
    <sheetView topLeftCell="A25" workbookViewId="0">
      <selection activeCell="G36" sqref="G36"/>
    </sheetView>
  </sheetViews>
  <sheetFormatPr baseColWidth="10" defaultColWidth="9.140625" defaultRowHeight="15" x14ac:dyDescent="0.25"/>
  <cols>
    <col min="1" max="1" width="15" customWidth="1"/>
    <col min="2" max="2" width="18" customWidth="1"/>
    <col min="3" max="3" width="14.28515625" customWidth="1"/>
    <col min="4" max="4" width="16" customWidth="1"/>
    <col min="5" max="10" width="16" style="12" customWidth="1"/>
    <col min="11" max="11" width="16.5703125" customWidth="1"/>
    <col min="12" max="12" width="15.7109375" customWidth="1"/>
    <col min="13" max="13" width="17" customWidth="1"/>
    <col min="14" max="14" width="16.28515625" customWidth="1"/>
    <col min="15" max="15" width="14.5703125" customWidth="1"/>
    <col min="16" max="16" width="7" customWidth="1"/>
    <col min="17" max="17" width="14.85546875" customWidth="1"/>
    <col min="18" max="18" width="16.140625" customWidth="1"/>
    <col min="19" max="19" width="14" customWidth="1"/>
    <col min="20" max="20" width="18.28515625" customWidth="1"/>
    <col min="22" max="22" width="16" customWidth="1"/>
    <col min="23" max="23" width="14.85546875" customWidth="1"/>
    <col min="24" max="24" width="11.42578125" customWidth="1"/>
    <col min="25" max="25" width="14" customWidth="1"/>
  </cols>
  <sheetData>
    <row r="1" spans="1:25" x14ac:dyDescent="0.25">
      <c r="A1" s="55"/>
      <c r="B1" s="112" t="s">
        <v>43</v>
      </c>
      <c r="C1" s="112"/>
      <c r="D1" s="112"/>
      <c r="E1" s="112"/>
      <c r="F1" s="55"/>
      <c r="G1" s="112" t="s">
        <v>54</v>
      </c>
      <c r="H1" s="112"/>
      <c r="I1" s="112"/>
      <c r="J1" s="112"/>
      <c r="L1" s="112" t="s">
        <v>64</v>
      </c>
      <c r="M1" s="112"/>
      <c r="N1" s="112"/>
      <c r="O1" s="112"/>
      <c r="Q1" s="112" t="s">
        <v>68</v>
      </c>
      <c r="R1" s="112"/>
      <c r="S1" s="112"/>
      <c r="T1" s="112"/>
      <c r="V1" s="112" t="s">
        <v>73</v>
      </c>
      <c r="W1" s="112"/>
      <c r="X1" s="112"/>
      <c r="Y1" s="112"/>
    </row>
    <row r="2" spans="1:25" x14ac:dyDescent="0.25">
      <c r="A2" s="51"/>
      <c r="B2" s="50" t="s">
        <v>50</v>
      </c>
      <c r="C2" s="50" t="s">
        <v>44</v>
      </c>
      <c r="D2" s="50" t="s">
        <v>29</v>
      </c>
      <c r="E2" s="50" t="s">
        <v>30</v>
      </c>
      <c r="F2" s="51"/>
      <c r="G2" s="50" t="s">
        <v>50</v>
      </c>
      <c r="H2" s="50" t="s">
        <v>44</v>
      </c>
      <c r="I2" s="50" t="s">
        <v>29</v>
      </c>
      <c r="J2" s="50" t="s">
        <v>30</v>
      </c>
      <c r="L2" s="71" t="s">
        <v>50</v>
      </c>
      <c r="M2" s="71" t="s">
        <v>44</v>
      </c>
      <c r="N2" s="71" t="s">
        <v>29</v>
      </c>
      <c r="O2" s="71" t="s">
        <v>30</v>
      </c>
      <c r="Q2" s="74" t="s">
        <v>52</v>
      </c>
      <c r="R2" s="74" t="s">
        <v>44</v>
      </c>
      <c r="S2" s="74" t="s">
        <v>29</v>
      </c>
      <c r="T2" s="74" t="s">
        <v>30</v>
      </c>
      <c r="V2" s="87" t="s">
        <v>52</v>
      </c>
      <c r="W2" s="87" t="s">
        <v>44</v>
      </c>
      <c r="X2" s="87" t="s">
        <v>29</v>
      </c>
      <c r="Y2" s="87" t="s">
        <v>30</v>
      </c>
    </row>
    <row r="3" spans="1:25" x14ac:dyDescent="0.25">
      <c r="A3" s="29"/>
      <c r="B3" s="38">
        <v>43556</v>
      </c>
      <c r="C3" s="38">
        <v>43557</v>
      </c>
      <c r="D3" s="61"/>
      <c r="E3" s="61"/>
      <c r="F3" s="29"/>
      <c r="G3" s="38">
        <v>43586</v>
      </c>
      <c r="H3" s="38">
        <v>43587</v>
      </c>
      <c r="I3" s="52">
        <v>0.45833333333333331</v>
      </c>
      <c r="J3" s="41">
        <v>0</v>
      </c>
      <c r="L3" s="38">
        <v>43617</v>
      </c>
      <c r="M3" s="38">
        <v>43618</v>
      </c>
      <c r="N3" s="64">
        <v>0.45833333333333331</v>
      </c>
      <c r="O3" s="41">
        <v>0</v>
      </c>
      <c r="Q3" s="38">
        <v>43647</v>
      </c>
      <c r="R3" s="38">
        <v>43648</v>
      </c>
      <c r="S3" s="64">
        <v>0.45833333333333331</v>
      </c>
      <c r="T3" s="41">
        <v>0</v>
      </c>
      <c r="V3" s="38">
        <v>43678</v>
      </c>
      <c r="W3" s="38">
        <v>43679</v>
      </c>
      <c r="X3" s="64">
        <v>0.3215277777777778</v>
      </c>
      <c r="Y3" s="89" t="s">
        <v>75</v>
      </c>
    </row>
    <row r="4" spans="1:25" x14ac:dyDescent="0.25">
      <c r="A4" s="29"/>
      <c r="B4" s="38">
        <v>43557</v>
      </c>
      <c r="C4" s="38">
        <v>43558</v>
      </c>
      <c r="D4" s="61"/>
      <c r="E4" s="61"/>
      <c r="F4" s="29"/>
      <c r="G4" s="38">
        <v>43587</v>
      </c>
      <c r="H4" s="38">
        <v>43588</v>
      </c>
      <c r="I4" s="52">
        <v>0.45833333333333331</v>
      </c>
      <c r="J4" s="41">
        <v>0</v>
      </c>
      <c r="L4" s="38">
        <v>43618</v>
      </c>
      <c r="M4" s="38">
        <v>43619</v>
      </c>
      <c r="N4" s="64">
        <v>0.45833333333333331</v>
      </c>
      <c r="O4" s="41">
        <v>0</v>
      </c>
      <c r="Q4" s="38">
        <v>43648</v>
      </c>
      <c r="R4" s="38">
        <v>43649</v>
      </c>
      <c r="S4" s="64">
        <v>0.27777777777777779</v>
      </c>
      <c r="T4" s="41">
        <v>5.5</v>
      </c>
      <c r="V4" s="38">
        <v>43679</v>
      </c>
      <c r="W4" s="38">
        <v>43680</v>
      </c>
      <c r="X4" s="64">
        <v>0.27777777777777779</v>
      </c>
      <c r="Y4" s="89">
        <v>0</v>
      </c>
    </row>
    <row r="5" spans="1:25" x14ac:dyDescent="0.25">
      <c r="A5" s="29"/>
      <c r="B5" s="38">
        <v>43558</v>
      </c>
      <c r="C5" s="38">
        <v>43559</v>
      </c>
      <c r="D5" s="61"/>
      <c r="E5" s="61"/>
      <c r="F5" s="29"/>
      <c r="G5" s="38">
        <v>43588</v>
      </c>
      <c r="H5" s="38">
        <v>43589</v>
      </c>
      <c r="I5" s="52">
        <v>0.2638888888888889</v>
      </c>
      <c r="J5" s="41">
        <v>10</v>
      </c>
      <c r="L5" s="38">
        <v>43619</v>
      </c>
      <c r="M5" s="38">
        <v>43620</v>
      </c>
      <c r="N5" s="64">
        <v>0.45833333333333331</v>
      </c>
      <c r="O5" s="41">
        <v>0</v>
      </c>
      <c r="Q5" s="38">
        <v>43649</v>
      </c>
      <c r="R5" s="38">
        <v>43650</v>
      </c>
      <c r="S5" s="64">
        <v>0.45833333333333331</v>
      </c>
      <c r="T5" s="83">
        <v>0</v>
      </c>
      <c r="V5" s="38">
        <v>43680</v>
      </c>
      <c r="W5" s="38">
        <v>43681</v>
      </c>
      <c r="X5" s="64">
        <v>0.45833333333333331</v>
      </c>
      <c r="Y5" s="89">
        <v>0</v>
      </c>
    </row>
    <row r="6" spans="1:25" x14ac:dyDescent="0.25">
      <c r="A6" s="29"/>
      <c r="B6" s="38">
        <v>43559</v>
      </c>
      <c r="C6" s="38">
        <v>43560</v>
      </c>
      <c r="D6" s="61"/>
      <c r="E6" s="61"/>
      <c r="F6" s="29"/>
      <c r="G6" s="38">
        <v>43589</v>
      </c>
      <c r="H6" s="38">
        <v>43590</v>
      </c>
      <c r="I6" s="52">
        <v>0.45833333333333331</v>
      </c>
      <c r="J6" s="41">
        <v>0</v>
      </c>
      <c r="L6" s="38">
        <v>43620</v>
      </c>
      <c r="M6" s="38">
        <v>43621</v>
      </c>
      <c r="N6" s="64">
        <v>0.45833333333333331</v>
      </c>
      <c r="O6" s="41">
        <v>0</v>
      </c>
      <c r="Q6" s="38">
        <v>43650</v>
      </c>
      <c r="R6" s="38">
        <v>43651</v>
      </c>
      <c r="S6" s="64">
        <v>0.45833333333333331</v>
      </c>
      <c r="T6" s="83">
        <v>0</v>
      </c>
      <c r="V6" s="38">
        <v>43681</v>
      </c>
      <c r="W6" s="38">
        <v>43682</v>
      </c>
      <c r="X6" s="64">
        <v>0.45833333333333331</v>
      </c>
      <c r="Y6" s="89">
        <v>0</v>
      </c>
    </row>
    <row r="7" spans="1:25" x14ac:dyDescent="0.25">
      <c r="A7" s="29"/>
      <c r="B7" s="38">
        <v>43560</v>
      </c>
      <c r="C7" s="38">
        <v>43561</v>
      </c>
      <c r="D7" s="61"/>
      <c r="E7" s="61"/>
      <c r="F7" s="29"/>
      <c r="G7" s="38">
        <v>43590</v>
      </c>
      <c r="H7" s="38">
        <v>43591</v>
      </c>
      <c r="I7" s="52">
        <v>0.45833333333333331</v>
      </c>
      <c r="J7" s="41">
        <v>0</v>
      </c>
      <c r="L7" s="38">
        <v>43621</v>
      </c>
      <c r="M7" s="38">
        <v>43622</v>
      </c>
      <c r="N7" s="64">
        <v>0.27083333333333331</v>
      </c>
      <c r="O7" s="41">
        <v>64</v>
      </c>
      <c r="Q7" s="38">
        <v>43651</v>
      </c>
      <c r="R7" s="38">
        <v>43652</v>
      </c>
      <c r="S7" s="64">
        <v>0.31944444444444448</v>
      </c>
      <c r="T7" s="41">
        <v>1.5</v>
      </c>
      <c r="V7" s="38">
        <v>43682</v>
      </c>
      <c r="W7" s="38">
        <v>43683</v>
      </c>
      <c r="X7" s="64">
        <v>0.45833333333333331</v>
      </c>
      <c r="Y7" s="89" t="s">
        <v>75</v>
      </c>
    </row>
    <row r="8" spans="1:25" x14ac:dyDescent="0.25">
      <c r="A8" s="29"/>
      <c r="B8" s="38">
        <v>43561</v>
      </c>
      <c r="C8" s="38">
        <v>43562</v>
      </c>
      <c r="D8" s="61"/>
      <c r="E8" s="61"/>
      <c r="F8" s="29"/>
      <c r="G8" s="38">
        <v>43591</v>
      </c>
      <c r="H8" s="38">
        <v>43592</v>
      </c>
      <c r="I8" s="52">
        <v>0.45833333333333331</v>
      </c>
      <c r="J8" s="41">
        <v>0</v>
      </c>
      <c r="L8" s="38">
        <v>43622</v>
      </c>
      <c r="M8" s="38">
        <v>43623</v>
      </c>
      <c r="N8" s="64">
        <v>0.27083333333333331</v>
      </c>
      <c r="O8" s="41" t="s">
        <v>67</v>
      </c>
      <c r="Q8" s="38">
        <v>43652</v>
      </c>
      <c r="R8" s="38">
        <v>43653</v>
      </c>
      <c r="S8" s="64">
        <v>0.45833333333333331</v>
      </c>
      <c r="T8" s="83">
        <v>0</v>
      </c>
      <c r="V8" s="38">
        <v>43683</v>
      </c>
      <c r="W8" s="38">
        <v>43684</v>
      </c>
      <c r="X8" s="64">
        <v>0.52083333333333337</v>
      </c>
      <c r="Y8" s="89">
        <v>2.5</v>
      </c>
    </row>
    <row r="9" spans="1:25" x14ac:dyDescent="0.25">
      <c r="A9" s="29"/>
      <c r="B9" s="38">
        <v>43562</v>
      </c>
      <c r="C9" s="38">
        <v>43563</v>
      </c>
      <c r="D9" s="61"/>
      <c r="E9" s="61"/>
      <c r="F9" s="29"/>
      <c r="G9" s="38">
        <v>43592</v>
      </c>
      <c r="H9" s="38">
        <v>43593</v>
      </c>
      <c r="I9" s="64">
        <v>0.45833333333333331</v>
      </c>
      <c r="J9" s="41">
        <v>0</v>
      </c>
      <c r="L9" s="38">
        <v>43623</v>
      </c>
      <c r="M9" s="38">
        <v>43624</v>
      </c>
      <c r="N9" s="64">
        <v>0.45833333333333331</v>
      </c>
      <c r="O9" s="41">
        <v>0</v>
      </c>
      <c r="Q9" s="38">
        <v>43653</v>
      </c>
      <c r="R9" s="38">
        <v>43654</v>
      </c>
      <c r="S9" s="64">
        <v>0.45833333333333331</v>
      </c>
      <c r="T9" s="83">
        <v>0</v>
      </c>
      <c r="V9" s="38">
        <v>43684</v>
      </c>
      <c r="W9" s="38">
        <v>43685</v>
      </c>
      <c r="X9" s="64">
        <v>0.45833333333333331</v>
      </c>
      <c r="Y9" s="89">
        <v>0</v>
      </c>
    </row>
    <row r="10" spans="1:25" x14ac:dyDescent="0.25">
      <c r="A10" s="29"/>
      <c r="B10" s="38">
        <v>43563</v>
      </c>
      <c r="C10" s="38">
        <v>43564</v>
      </c>
      <c r="D10" s="61"/>
      <c r="E10" s="61"/>
      <c r="F10" s="29"/>
      <c r="G10" s="38">
        <v>43593</v>
      </c>
      <c r="H10" s="38">
        <v>43594</v>
      </c>
      <c r="I10" s="64">
        <v>0.45833333333333331</v>
      </c>
      <c r="J10" s="41">
        <v>0</v>
      </c>
      <c r="L10" s="38">
        <v>43624</v>
      </c>
      <c r="M10" s="38">
        <v>43625</v>
      </c>
      <c r="N10" s="64">
        <v>0.45833333333333331</v>
      </c>
      <c r="O10" s="41">
        <v>0</v>
      </c>
      <c r="Q10" s="38">
        <v>43654</v>
      </c>
      <c r="R10" s="38">
        <v>43655</v>
      </c>
      <c r="S10" s="64">
        <v>0.33888888888888885</v>
      </c>
      <c r="T10" s="41">
        <v>21</v>
      </c>
      <c r="V10" s="38">
        <v>43685</v>
      </c>
      <c r="W10" s="38">
        <v>43686</v>
      </c>
      <c r="X10" s="64">
        <v>0.45833333333333331</v>
      </c>
      <c r="Y10" s="89">
        <v>0</v>
      </c>
    </row>
    <row r="11" spans="1:25" x14ac:dyDescent="0.25">
      <c r="A11" s="29"/>
      <c r="B11" s="38">
        <v>43564</v>
      </c>
      <c r="C11" s="38">
        <v>43565</v>
      </c>
      <c r="D11" s="61"/>
      <c r="E11" s="61"/>
      <c r="F11" s="29"/>
      <c r="G11" s="38">
        <v>43594</v>
      </c>
      <c r="H11" s="38">
        <v>43595</v>
      </c>
      <c r="I11" s="64">
        <v>0.45833333333333331</v>
      </c>
      <c r="J11" s="41">
        <v>0</v>
      </c>
      <c r="L11" s="38">
        <v>43625</v>
      </c>
      <c r="M11" s="38">
        <v>43626</v>
      </c>
      <c r="N11" s="64">
        <v>0.45833333333333331</v>
      </c>
      <c r="O11" s="41">
        <v>0</v>
      </c>
      <c r="Q11" s="38">
        <v>43655</v>
      </c>
      <c r="R11" s="38">
        <v>43656</v>
      </c>
      <c r="S11" s="64">
        <v>0.45833333333333331</v>
      </c>
      <c r="T11" s="41">
        <v>0</v>
      </c>
      <c r="V11" s="38">
        <v>43686</v>
      </c>
      <c r="W11" s="38">
        <v>43687</v>
      </c>
      <c r="X11" s="64">
        <v>0.45833333333333331</v>
      </c>
      <c r="Y11" s="89" t="s">
        <v>75</v>
      </c>
    </row>
    <row r="12" spans="1:25" x14ac:dyDescent="0.25">
      <c r="A12" s="29"/>
      <c r="B12" s="38">
        <v>43565</v>
      </c>
      <c r="C12" s="38">
        <v>43566</v>
      </c>
      <c r="D12" s="61"/>
      <c r="E12" s="61"/>
      <c r="F12" s="29"/>
      <c r="G12" s="38">
        <v>43595</v>
      </c>
      <c r="H12" s="38">
        <v>43596</v>
      </c>
      <c r="I12" s="64">
        <v>0.45833333333333331</v>
      </c>
      <c r="J12" s="41">
        <v>0</v>
      </c>
      <c r="L12" s="38">
        <v>43626</v>
      </c>
      <c r="M12" s="38">
        <v>43627</v>
      </c>
      <c r="N12" s="64">
        <v>0.45833333333333331</v>
      </c>
      <c r="O12" s="41">
        <v>0.5</v>
      </c>
      <c r="Q12" s="38">
        <v>43656</v>
      </c>
      <c r="R12" s="38">
        <v>43657</v>
      </c>
      <c r="S12" s="64">
        <v>0.45833333333333331</v>
      </c>
      <c r="T12" s="41">
        <v>0</v>
      </c>
      <c r="V12" s="38">
        <v>43687</v>
      </c>
      <c r="W12" s="38">
        <v>43688</v>
      </c>
      <c r="X12" s="64">
        <v>0.45833333333333331</v>
      </c>
      <c r="Y12" s="89">
        <v>0</v>
      </c>
    </row>
    <row r="13" spans="1:25" x14ac:dyDescent="0.25">
      <c r="A13" s="29"/>
      <c r="B13" s="38">
        <v>43566</v>
      </c>
      <c r="C13" s="38">
        <v>43567</v>
      </c>
      <c r="D13" s="61"/>
      <c r="E13" s="61"/>
      <c r="F13" s="29"/>
      <c r="G13" s="38">
        <v>43596</v>
      </c>
      <c r="H13" s="38">
        <v>43597</v>
      </c>
      <c r="I13" s="64">
        <v>0.27083333333333331</v>
      </c>
      <c r="J13" s="41">
        <v>0.5</v>
      </c>
      <c r="L13" s="38">
        <v>43627</v>
      </c>
      <c r="M13" s="38">
        <v>43628</v>
      </c>
      <c r="N13" s="64">
        <v>0.26041666666666669</v>
      </c>
      <c r="O13" s="41">
        <v>0.5</v>
      </c>
      <c r="Q13" s="38">
        <v>43657</v>
      </c>
      <c r="R13" s="38">
        <v>43658</v>
      </c>
      <c r="S13" s="64">
        <v>0.45833333333333331</v>
      </c>
      <c r="T13" s="41">
        <v>0</v>
      </c>
      <c r="V13" s="38">
        <v>43688</v>
      </c>
      <c r="W13" s="38">
        <v>43689</v>
      </c>
      <c r="X13" s="64">
        <v>0.45833333333333331</v>
      </c>
      <c r="Y13" s="89">
        <v>0</v>
      </c>
    </row>
    <row r="14" spans="1:25" x14ac:dyDescent="0.25">
      <c r="A14" s="29"/>
      <c r="B14" s="38">
        <v>43567</v>
      </c>
      <c r="C14" s="38">
        <v>43568</v>
      </c>
      <c r="D14" s="61"/>
      <c r="E14" s="61"/>
      <c r="F14" s="29"/>
      <c r="G14" s="38">
        <v>43597</v>
      </c>
      <c r="H14" s="38">
        <v>43598</v>
      </c>
      <c r="I14" s="64">
        <v>0.45833333333333331</v>
      </c>
      <c r="J14" s="41">
        <v>0</v>
      </c>
      <c r="L14" s="38">
        <v>43628</v>
      </c>
      <c r="M14" s="38">
        <v>43629</v>
      </c>
      <c r="N14" s="64">
        <v>0.45833333333333331</v>
      </c>
      <c r="O14" s="41">
        <v>0</v>
      </c>
      <c r="Q14" s="38">
        <v>43658</v>
      </c>
      <c r="R14" s="38">
        <v>43659</v>
      </c>
      <c r="S14" s="64">
        <v>0.45833333333333331</v>
      </c>
      <c r="T14" s="83">
        <v>0</v>
      </c>
      <c r="V14" s="38">
        <v>43689</v>
      </c>
      <c r="W14" s="38">
        <v>43690</v>
      </c>
      <c r="X14" s="64">
        <v>0.45833333333333331</v>
      </c>
      <c r="Y14" s="89">
        <v>0</v>
      </c>
    </row>
    <row r="15" spans="1:25" x14ac:dyDescent="0.25">
      <c r="A15" s="29"/>
      <c r="B15" s="38">
        <v>43568</v>
      </c>
      <c r="C15" s="38">
        <v>43569</v>
      </c>
      <c r="D15" s="61"/>
      <c r="E15" s="61"/>
      <c r="F15" s="29"/>
      <c r="G15" s="38">
        <v>43598</v>
      </c>
      <c r="H15" s="38">
        <v>43599</v>
      </c>
      <c r="I15" s="52">
        <v>0.27083333333333331</v>
      </c>
      <c r="J15" s="41">
        <v>4</v>
      </c>
      <c r="L15" s="38">
        <v>43629</v>
      </c>
      <c r="M15" s="38">
        <v>43630</v>
      </c>
      <c r="N15" s="64">
        <v>0.24583333333333335</v>
      </c>
      <c r="O15" s="41">
        <v>2.5</v>
      </c>
      <c r="Q15" s="38">
        <v>43659</v>
      </c>
      <c r="R15" s="38">
        <v>43660</v>
      </c>
      <c r="S15" s="64">
        <v>0.27083333333333331</v>
      </c>
      <c r="T15" s="41">
        <v>10</v>
      </c>
      <c r="V15" s="38">
        <v>43690</v>
      </c>
      <c r="W15" s="38">
        <v>43691</v>
      </c>
      <c r="X15" s="64">
        <v>0.45833333333333331</v>
      </c>
      <c r="Y15" s="89">
        <v>0</v>
      </c>
    </row>
    <row r="16" spans="1:25" x14ac:dyDescent="0.25">
      <c r="A16" s="29"/>
      <c r="B16" s="38">
        <v>43569</v>
      </c>
      <c r="C16" s="38">
        <v>43570</v>
      </c>
      <c r="D16" s="61"/>
      <c r="E16" s="61"/>
      <c r="F16" s="29"/>
      <c r="G16" s="38">
        <v>43599</v>
      </c>
      <c r="H16" s="38">
        <v>43600</v>
      </c>
      <c r="I16" s="52">
        <v>0.45833333333333331</v>
      </c>
      <c r="J16" s="41">
        <v>0</v>
      </c>
      <c r="L16" s="38">
        <v>43630</v>
      </c>
      <c r="M16" s="38">
        <v>43631</v>
      </c>
      <c r="N16" s="64">
        <v>0.25694444444444448</v>
      </c>
      <c r="O16" s="41">
        <v>9.4</v>
      </c>
      <c r="Q16" s="38">
        <v>43660</v>
      </c>
      <c r="R16" s="38">
        <v>43661</v>
      </c>
      <c r="S16" s="64">
        <v>0.45833333333333331</v>
      </c>
      <c r="T16" s="83">
        <v>0</v>
      </c>
      <c r="V16" s="38">
        <v>43691</v>
      </c>
      <c r="W16" s="38">
        <v>43692</v>
      </c>
      <c r="X16" s="64">
        <v>0.45833333333333331</v>
      </c>
      <c r="Y16" s="89">
        <v>0</v>
      </c>
    </row>
    <row r="17" spans="1:25" x14ac:dyDescent="0.25">
      <c r="A17" s="29"/>
      <c r="B17" s="38">
        <v>43570</v>
      </c>
      <c r="C17" s="38">
        <v>43571</v>
      </c>
      <c r="D17" s="61"/>
      <c r="E17" s="61"/>
      <c r="F17" s="29"/>
      <c r="G17" s="38">
        <v>43600</v>
      </c>
      <c r="H17" s="38">
        <v>43601</v>
      </c>
      <c r="I17" s="52">
        <v>0.45833333333333331</v>
      </c>
      <c r="J17" s="41">
        <v>0</v>
      </c>
      <c r="L17" s="38">
        <v>43631</v>
      </c>
      <c r="M17" s="38">
        <v>43632</v>
      </c>
      <c r="N17" s="64">
        <v>0.45833333333333331</v>
      </c>
      <c r="O17" s="41">
        <v>0</v>
      </c>
      <c r="Q17" s="38">
        <v>43661</v>
      </c>
      <c r="R17" s="38">
        <v>43662</v>
      </c>
      <c r="S17" s="64">
        <v>0.45833333333333331</v>
      </c>
      <c r="T17" s="83">
        <v>0</v>
      </c>
      <c r="V17" s="38">
        <v>43692</v>
      </c>
      <c r="W17" s="38">
        <v>43693</v>
      </c>
      <c r="X17" s="64">
        <v>0.45833333333333331</v>
      </c>
      <c r="Y17" s="89">
        <v>0</v>
      </c>
    </row>
    <row r="18" spans="1:25" x14ac:dyDescent="0.25">
      <c r="A18" s="29"/>
      <c r="B18" s="38">
        <v>43571</v>
      </c>
      <c r="C18" s="38">
        <v>43572</v>
      </c>
      <c r="D18" s="61"/>
      <c r="E18" s="61"/>
      <c r="F18" s="29"/>
      <c r="G18" s="38">
        <v>43601</v>
      </c>
      <c r="H18" s="38">
        <v>43602</v>
      </c>
      <c r="I18" s="52">
        <v>0.45833333333333331</v>
      </c>
      <c r="J18" s="41">
        <v>0</v>
      </c>
      <c r="L18" s="38">
        <v>43632</v>
      </c>
      <c r="M18" s="38">
        <v>43633</v>
      </c>
      <c r="N18" s="64">
        <v>0.45833333333333331</v>
      </c>
      <c r="O18" s="41">
        <v>0</v>
      </c>
      <c r="Q18" s="38">
        <v>43662</v>
      </c>
      <c r="R18" s="38">
        <v>43663</v>
      </c>
      <c r="S18" s="64">
        <v>0.45833333333333331</v>
      </c>
      <c r="T18" s="83">
        <v>0</v>
      </c>
      <c r="V18" s="38">
        <v>43693</v>
      </c>
      <c r="W18" s="38">
        <v>43694</v>
      </c>
      <c r="X18" s="90"/>
      <c r="Y18" s="91"/>
    </row>
    <row r="19" spans="1:25" x14ac:dyDescent="0.25">
      <c r="A19" s="29"/>
      <c r="B19" s="38">
        <v>43572</v>
      </c>
      <c r="C19" s="38">
        <v>43573</v>
      </c>
      <c r="D19" s="61"/>
      <c r="E19" s="61"/>
      <c r="F19" s="29"/>
      <c r="G19" s="38">
        <v>43602</v>
      </c>
      <c r="H19" s="38">
        <v>43603</v>
      </c>
      <c r="I19" s="52">
        <v>0.27777777777777779</v>
      </c>
      <c r="J19" s="41">
        <v>39</v>
      </c>
      <c r="L19" s="38">
        <v>43633</v>
      </c>
      <c r="M19" s="38">
        <v>43634</v>
      </c>
      <c r="N19" s="64">
        <v>0.45833333333333331</v>
      </c>
      <c r="O19" s="41">
        <v>0</v>
      </c>
      <c r="Q19" s="38">
        <v>43663</v>
      </c>
      <c r="R19" s="38">
        <v>43664</v>
      </c>
      <c r="S19" s="64">
        <v>0.62986111111111109</v>
      </c>
      <c r="T19" s="41">
        <v>32.6</v>
      </c>
      <c r="V19" s="38">
        <v>43694</v>
      </c>
      <c r="W19" s="38">
        <v>43695</v>
      </c>
      <c r="X19" s="90"/>
      <c r="Y19" s="91"/>
    </row>
    <row r="20" spans="1:25" x14ac:dyDescent="0.25">
      <c r="A20" s="29"/>
      <c r="B20" s="38">
        <v>43573</v>
      </c>
      <c r="C20" s="38">
        <v>43574</v>
      </c>
      <c r="D20" s="61"/>
      <c r="E20" s="61"/>
      <c r="F20" s="29"/>
      <c r="G20" s="38">
        <v>43603</v>
      </c>
      <c r="H20" s="38">
        <v>43604</v>
      </c>
      <c r="I20" s="52">
        <v>0.45833333333333331</v>
      </c>
      <c r="J20" s="41">
        <v>0</v>
      </c>
      <c r="L20" s="38">
        <v>43634</v>
      </c>
      <c r="M20" s="38">
        <v>43635</v>
      </c>
      <c r="N20" s="64">
        <v>0.45833333333333331</v>
      </c>
      <c r="O20" s="41">
        <v>0</v>
      </c>
      <c r="Q20" s="38">
        <v>43664</v>
      </c>
      <c r="R20" s="38">
        <v>43665</v>
      </c>
      <c r="S20" s="64">
        <v>0.38611111111111113</v>
      </c>
      <c r="T20" s="41">
        <v>0</v>
      </c>
      <c r="V20" s="38">
        <v>43695</v>
      </c>
      <c r="W20" s="38">
        <v>43696</v>
      </c>
      <c r="X20" s="90"/>
      <c r="Y20" s="91"/>
    </row>
    <row r="21" spans="1:25" x14ac:dyDescent="0.25">
      <c r="A21" s="29"/>
      <c r="B21" s="38">
        <v>43574</v>
      </c>
      <c r="C21" s="38">
        <v>43575</v>
      </c>
      <c r="D21" s="61"/>
      <c r="E21" s="61"/>
      <c r="F21" s="29"/>
      <c r="G21" s="38">
        <v>43604</v>
      </c>
      <c r="H21" s="38">
        <v>43605</v>
      </c>
      <c r="I21" s="52">
        <v>0.45833333333333331</v>
      </c>
      <c r="J21" s="41">
        <v>0</v>
      </c>
      <c r="L21" s="38">
        <v>43635</v>
      </c>
      <c r="M21" s="38">
        <v>43636</v>
      </c>
      <c r="N21" s="64">
        <v>0.22916666666666666</v>
      </c>
      <c r="O21" s="41">
        <v>0</v>
      </c>
      <c r="Q21" s="38">
        <v>43665</v>
      </c>
      <c r="R21" s="38">
        <v>43666</v>
      </c>
      <c r="S21" s="64">
        <v>0.31458333333333333</v>
      </c>
      <c r="T21" s="41">
        <v>9.5</v>
      </c>
      <c r="V21" s="38">
        <v>43696</v>
      </c>
      <c r="W21" s="38">
        <v>43697</v>
      </c>
      <c r="X21" s="90"/>
      <c r="Y21" s="91"/>
    </row>
    <row r="22" spans="1:25" x14ac:dyDescent="0.25">
      <c r="A22" s="29"/>
      <c r="B22" s="38">
        <v>43575</v>
      </c>
      <c r="C22" s="38">
        <v>43576</v>
      </c>
      <c r="D22" s="61"/>
      <c r="E22" s="61"/>
      <c r="F22" s="29"/>
      <c r="G22" s="38">
        <v>43605</v>
      </c>
      <c r="H22" s="38">
        <v>43606</v>
      </c>
      <c r="I22" s="52">
        <v>0.45833333333333331</v>
      </c>
      <c r="J22" s="41">
        <v>0</v>
      </c>
      <c r="L22" s="38">
        <v>43636</v>
      </c>
      <c r="M22" s="38">
        <v>43637</v>
      </c>
      <c r="N22" s="64">
        <v>0.22916666666666666</v>
      </c>
      <c r="O22" s="41">
        <v>5</v>
      </c>
      <c r="Q22" s="38">
        <v>43666</v>
      </c>
      <c r="R22" s="38">
        <v>43667</v>
      </c>
      <c r="S22" s="64">
        <v>0.45833333333333331</v>
      </c>
      <c r="T22" s="41">
        <v>0</v>
      </c>
      <c r="V22" s="38">
        <v>43697</v>
      </c>
      <c r="W22" s="38">
        <v>43698</v>
      </c>
      <c r="X22" s="90"/>
      <c r="Y22" s="91"/>
    </row>
    <row r="23" spans="1:25" x14ac:dyDescent="0.25">
      <c r="A23" s="29"/>
      <c r="B23" s="38">
        <v>43576</v>
      </c>
      <c r="C23" s="38">
        <v>43577</v>
      </c>
      <c r="D23" s="61"/>
      <c r="E23" s="61"/>
      <c r="F23" s="29"/>
      <c r="G23" s="38">
        <v>43606</v>
      </c>
      <c r="H23" s="38">
        <v>43607</v>
      </c>
      <c r="I23" s="52">
        <v>0.27083333333333331</v>
      </c>
      <c r="J23" s="41">
        <v>30</v>
      </c>
      <c r="L23" s="38">
        <v>43637</v>
      </c>
      <c r="M23" s="38">
        <v>43638</v>
      </c>
      <c r="N23" s="64">
        <v>0.45833333333333331</v>
      </c>
      <c r="O23" s="41">
        <v>0</v>
      </c>
      <c r="Q23" s="38">
        <v>43667</v>
      </c>
      <c r="R23" s="38">
        <v>43668</v>
      </c>
      <c r="S23" s="64">
        <v>0.30138888888888887</v>
      </c>
      <c r="T23" s="41">
        <v>39</v>
      </c>
      <c r="V23" s="38">
        <v>43698</v>
      </c>
      <c r="W23" s="38">
        <v>43699</v>
      </c>
      <c r="X23" s="90"/>
      <c r="Y23" s="91"/>
    </row>
    <row r="24" spans="1:25" x14ac:dyDescent="0.25">
      <c r="A24" s="29"/>
      <c r="B24" s="38">
        <v>43577</v>
      </c>
      <c r="C24" s="38">
        <v>43578</v>
      </c>
      <c r="D24" s="61"/>
      <c r="E24" s="61"/>
      <c r="F24" s="29"/>
      <c r="G24" s="38">
        <v>43607</v>
      </c>
      <c r="H24" s="38">
        <v>43608</v>
      </c>
      <c r="I24" s="52">
        <v>0.45833333333333331</v>
      </c>
      <c r="J24" s="41">
        <v>0</v>
      </c>
      <c r="L24" s="38">
        <v>43638</v>
      </c>
      <c r="M24" s="38">
        <v>43639</v>
      </c>
      <c r="N24" s="64">
        <v>0.25694444444444448</v>
      </c>
      <c r="O24" s="41">
        <v>10</v>
      </c>
      <c r="Q24" s="38">
        <v>43668</v>
      </c>
      <c r="R24" s="38">
        <v>43669</v>
      </c>
      <c r="S24" s="64">
        <v>0.45833333333333331</v>
      </c>
      <c r="T24" s="83">
        <v>0</v>
      </c>
      <c r="V24" s="38">
        <v>43699</v>
      </c>
      <c r="W24" s="38">
        <v>43700</v>
      </c>
      <c r="X24" s="90"/>
      <c r="Y24" s="91"/>
    </row>
    <row r="25" spans="1:25" x14ac:dyDescent="0.25">
      <c r="A25" s="29"/>
      <c r="B25" s="38">
        <v>43578</v>
      </c>
      <c r="C25" s="38">
        <v>43579</v>
      </c>
      <c r="D25" s="57">
        <v>0.45833333333333331</v>
      </c>
      <c r="E25" s="41">
        <v>0</v>
      </c>
      <c r="F25" s="29"/>
      <c r="G25" s="38">
        <v>43608</v>
      </c>
      <c r="H25" s="38">
        <v>43609</v>
      </c>
      <c r="I25" s="52">
        <v>0.45833333333333331</v>
      </c>
      <c r="J25" s="41">
        <v>0</v>
      </c>
      <c r="L25" s="38">
        <v>43639</v>
      </c>
      <c r="M25" s="38">
        <v>43640</v>
      </c>
      <c r="N25" s="64">
        <v>0.45833333333333331</v>
      </c>
      <c r="O25" s="41">
        <v>0</v>
      </c>
      <c r="Q25" s="38">
        <v>43669</v>
      </c>
      <c r="R25" s="38">
        <v>43670</v>
      </c>
      <c r="S25" s="64">
        <v>0.45833333333333331</v>
      </c>
      <c r="T25" s="83">
        <v>0</v>
      </c>
      <c r="V25" s="38">
        <v>43700</v>
      </c>
      <c r="W25" s="38">
        <v>43701</v>
      </c>
      <c r="X25" s="90"/>
      <c r="Y25" s="91"/>
    </row>
    <row r="26" spans="1:25" x14ac:dyDescent="0.25">
      <c r="A26" s="29"/>
      <c r="B26" s="38">
        <v>43579</v>
      </c>
      <c r="C26" s="38">
        <v>43580</v>
      </c>
      <c r="D26" s="57">
        <v>0.45833333333333331</v>
      </c>
      <c r="E26" s="41">
        <v>0</v>
      </c>
      <c r="F26" s="29"/>
      <c r="G26" s="38">
        <v>43609</v>
      </c>
      <c r="H26" s="38">
        <v>43610</v>
      </c>
      <c r="I26" s="52">
        <v>0.34166666666666662</v>
      </c>
      <c r="J26" s="41">
        <v>41</v>
      </c>
      <c r="L26" s="38">
        <v>43640</v>
      </c>
      <c r="M26" s="38">
        <v>43641</v>
      </c>
      <c r="N26" s="64">
        <v>0.25694444444444448</v>
      </c>
      <c r="O26" s="41">
        <v>34</v>
      </c>
      <c r="Q26" s="38">
        <v>43670</v>
      </c>
      <c r="R26" s="38">
        <v>43671</v>
      </c>
      <c r="S26" s="64">
        <v>0.56944444444444442</v>
      </c>
      <c r="T26" s="41">
        <v>2.5</v>
      </c>
      <c r="V26" s="38">
        <v>43701</v>
      </c>
      <c r="W26" s="38">
        <v>43702</v>
      </c>
      <c r="X26" s="90"/>
      <c r="Y26" s="91"/>
    </row>
    <row r="27" spans="1:25" x14ac:dyDescent="0.25">
      <c r="A27" s="29"/>
      <c r="B27" s="38">
        <v>43580</v>
      </c>
      <c r="C27" s="38">
        <v>43581</v>
      </c>
      <c r="D27" s="60">
        <v>0.45833333333333331</v>
      </c>
      <c r="E27" s="41">
        <v>0</v>
      </c>
      <c r="F27" s="29"/>
      <c r="G27" s="38">
        <v>43610</v>
      </c>
      <c r="H27" s="38">
        <v>43611</v>
      </c>
      <c r="I27" s="52">
        <v>0.45833333333333331</v>
      </c>
      <c r="J27" s="41">
        <v>0</v>
      </c>
      <c r="L27" s="38">
        <v>43641</v>
      </c>
      <c r="M27" s="38">
        <v>43642</v>
      </c>
      <c r="N27" s="64">
        <v>0.45833333333333331</v>
      </c>
      <c r="O27" s="41">
        <v>0</v>
      </c>
      <c r="Q27" s="38">
        <v>43671</v>
      </c>
      <c r="R27" s="38">
        <v>43672</v>
      </c>
      <c r="S27" s="64">
        <v>0.45833333333333331</v>
      </c>
      <c r="T27" s="83">
        <v>0</v>
      </c>
      <c r="V27" s="38">
        <v>43702</v>
      </c>
      <c r="W27" s="38">
        <v>43703</v>
      </c>
      <c r="X27" s="90"/>
      <c r="Y27" s="91"/>
    </row>
    <row r="28" spans="1:25" x14ac:dyDescent="0.25">
      <c r="A28" s="29"/>
      <c r="B28" s="38">
        <v>43581</v>
      </c>
      <c r="C28" s="38">
        <v>43582</v>
      </c>
      <c r="D28" s="60">
        <v>0.45833333333333331</v>
      </c>
      <c r="E28" s="41">
        <v>0</v>
      </c>
      <c r="F28" s="29"/>
      <c r="G28" s="38">
        <v>43611</v>
      </c>
      <c r="H28" s="38">
        <v>43612</v>
      </c>
      <c r="I28" s="52">
        <v>0.45833333333333331</v>
      </c>
      <c r="J28" s="41">
        <v>0</v>
      </c>
      <c r="L28" s="38">
        <v>43642</v>
      </c>
      <c r="M28" s="38">
        <v>43643</v>
      </c>
      <c r="N28" s="64">
        <v>0.45833333333333331</v>
      </c>
      <c r="O28" s="41">
        <v>0</v>
      </c>
      <c r="Q28" s="38">
        <v>43672</v>
      </c>
      <c r="R28" s="38">
        <v>43673</v>
      </c>
      <c r="S28" s="64">
        <v>0.45833333333333331</v>
      </c>
      <c r="T28" s="83">
        <v>0</v>
      </c>
      <c r="V28" s="38">
        <v>43703</v>
      </c>
      <c r="W28" s="38">
        <v>43704</v>
      </c>
      <c r="X28" s="90"/>
      <c r="Y28" s="91"/>
    </row>
    <row r="29" spans="1:25" x14ac:dyDescent="0.25">
      <c r="A29" s="29"/>
      <c r="B29" s="38">
        <v>43582</v>
      </c>
      <c r="C29" s="38">
        <v>43583</v>
      </c>
      <c r="D29" s="60">
        <v>0.45833333333333331</v>
      </c>
      <c r="E29" s="41">
        <v>0</v>
      </c>
      <c r="F29" s="29"/>
      <c r="G29" s="38">
        <v>43612</v>
      </c>
      <c r="H29" s="38">
        <v>43613</v>
      </c>
      <c r="I29" s="52">
        <v>0.25</v>
      </c>
      <c r="J29" s="41">
        <v>20</v>
      </c>
      <c r="L29" s="38">
        <v>43643</v>
      </c>
      <c r="M29" s="38">
        <v>43644</v>
      </c>
      <c r="N29" s="64">
        <v>0.45833333333333331</v>
      </c>
      <c r="O29" s="41">
        <v>0</v>
      </c>
      <c r="Q29" s="38">
        <v>43673</v>
      </c>
      <c r="R29" s="38">
        <v>43674</v>
      </c>
      <c r="S29" s="64">
        <v>0.27083333333333331</v>
      </c>
      <c r="T29" s="41" t="s">
        <v>72</v>
      </c>
      <c r="V29" s="38">
        <v>43704</v>
      </c>
      <c r="W29" s="38">
        <v>43705</v>
      </c>
      <c r="X29" s="90"/>
      <c r="Y29" s="91"/>
    </row>
    <row r="30" spans="1:25" x14ac:dyDescent="0.25">
      <c r="A30" s="29"/>
      <c r="B30" s="38">
        <v>43583</v>
      </c>
      <c r="C30" s="38">
        <v>43584</v>
      </c>
      <c r="D30" s="62">
        <v>0.2638888888888889</v>
      </c>
      <c r="E30" s="41">
        <v>47</v>
      </c>
      <c r="F30" s="29"/>
      <c r="G30" s="38">
        <v>43613</v>
      </c>
      <c r="H30" s="38">
        <v>43614</v>
      </c>
      <c r="I30" s="52">
        <v>0.45833333333333331</v>
      </c>
      <c r="J30" s="41">
        <v>0</v>
      </c>
      <c r="L30" s="38">
        <v>43644</v>
      </c>
      <c r="M30" s="38">
        <v>43645</v>
      </c>
      <c r="N30" s="64">
        <v>0.45833333333333331</v>
      </c>
      <c r="O30" s="41">
        <v>0</v>
      </c>
      <c r="Q30" s="38">
        <v>43674</v>
      </c>
      <c r="R30" s="38">
        <v>43675</v>
      </c>
      <c r="S30" s="43">
        <v>0.45833333333333331</v>
      </c>
      <c r="T30" s="41">
        <v>0</v>
      </c>
      <c r="V30" s="38">
        <v>43705</v>
      </c>
      <c r="W30" s="38">
        <v>43706</v>
      </c>
      <c r="X30" s="90"/>
      <c r="Y30" s="91"/>
    </row>
    <row r="31" spans="1:25" x14ac:dyDescent="0.25">
      <c r="A31" s="29"/>
      <c r="B31" s="38">
        <v>43584</v>
      </c>
      <c r="C31" s="38">
        <v>43585</v>
      </c>
      <c r="D31" s="64">
        <v>0.45833333333333331</v>
      </c>
      <c r="E31" s="41">
        <v>0</v>
      </c>
      <c r="F31" s="29"/>
      <c r="G31" s="38">
        <v>43614</v>
      </c>
      <c r="H31" s="38">
        <v>43615</v>
      </c>
      <c r="I31" s="52">
        <v>0.45833333333333331</v>
      </c>
      <c r="J31" s="24">
        <v>0</v>
      </c>
      <c r="L31" s="38">
        <v>43645</v>
      </c>
      <c r="M31" s="38">
        <v>43646</v>
      </c>
      <c r="N31" s="64">
        <v>0.45833333333333331</v>
      </c>
      <c r="O31" s="24">
        <v>0</v>
      </c>
      <c r="Q31" s="38">
        <v>43675</v>
      </c>
      <c r="R31" s="38">
        <v>43676</v>
      </c>
      <c r="S31" s="77">
        <v>0.45833333333333331</v>
      </c>
      <c r="T31" s="41">
        <v>0</v>
      </c>
      <c r="V31" s="38">
        <v>43706</v>
      </c>
      <c r="W31" s="38">
        <v>43707</v>
      </c>
      <c r="X31" s="90"/>
      <c r="Y31" s="91"/>
    </row>
    <row r="32" spans="1:25" x14ac:dyDescent="0.25">
      <c r="A32" s="29"/>
      <c r="B32" s="38">
        <v>43585</v>
      </c>
      <c r="C32" s="38">
        <v>43586</v>
      </c>
      <c r="D32" s="64">
        <v>0.45833333333333331</v>
      </c>
      <c r="E32" s="41">
        <v>0</v>
      </c>
      <c r="F32" s="29"/>
      <c r="G32" s="38">
        <v>43615</v>
      </c>
      <c r="H32" s="38">
        <v>43616</v>
      </c>
      <c r="I32" s="52">
        <v>0.25833333333333336</v>
      </c>
      <c r="J32" s="41">
        <v>28</v>
      </c>
      <c r="L32" s="38">
        <v>43646</v>
      </c>
      <c r="M32" s="38">
        <v>43647</v>
      </c>
      <c r="N32" s="64">
        <v>0.45833333333333331</v>
      </c>
      <c r="O32" s="41">
        <v>0</v>
      </c>
      <c r="Q32" s="38">
        <v>43676</v>
      </c>
      <c r="R32" s="38">
        <v>43677</v>
      </c>
      <c r="S32" s="43">
        <v>0.24305555555555555</v>
      </c>
      <c r="T32" s="41" t="s">
        <v>72</v>
      </c>
      <c r="V32" s="38">
        <v>43707</v>
      </c>
      <c r="W32" s="38">
        <v>43708</v>
      </c>
      <c r="X32" s="90"/>
      <c r="Y32" s="91"/>
    </row>
    <row r="33" spans="1:25" x14ac:dyDescent="0.25">
      <c r="A33" s="29"/>
      <c r="B33" s="29"/>
      <c r="C33" s="125" t="s">
        <v>56</v>
      </c>
      <c r="D33" s="125"/>
      <c r="E33" s="58">
        <f>SUM(E2:E32)</f>
        <v>47</v>
      </c>
      <c r="F33" s="29"/>
      <c r="G33" s="38">
        <v>43616</v>
      </c>
      <c r="H33" s="38">
        <v>43617</v>
      </c>
      <c r="I33" s="64">
        <v>0.45833333333333331</v>
      </c>
      <c r="J33" s="41">
        <v>0</v>
      </c>
      <c r="L33" s="12"/>
      <c r="M33" s="126" t="s">
        <v>66</v>
      </c>
      <c r="N33" s="126"/>
      <c r="O33" s="73">
        <f>SUM(O3:O32)</f>
        <v>125.9</v>
      </c>
      <c r="Q33" s="38">
        <v>43677</v>
      </c>
      <c r="R33" s="38">
        <v>43678</v>
      </c>
      <c r="S33" s="64">
        <v>0.45833333333333331</v>
      </c>
      <c r="T33" s="83" t="s">
        <v>75</v>
      </c>
      <c r="V33" s="38">
        <v>43708</v>
      </c>
      <c r="W33" s="38">
        <v>43709</v>
      </c>
      <c r="X33" s="90"/>
      <c r="Y33" s="91"/>
    </row>
    <row r="34" spans="1:25" x14ac:dyDescent="0.25">
      <c r="A34" s="12"/>
      <c r="B34" s="12"/>
      <c r="C34" s="12"/>
      <c r="D34" s="12"/>
      <c r="G34"/>
      <c r="H34" s="126" t="s">
        <v>55</v>
      </c>
      <c r="I34" s="126"/>
      <c r="J34" s="59">
        <f>SUM(J3:J33)</f>
        <v>172.5</v>
      </c>
      <c r="L34" s="12"/>
      <c r="Q34" s="12"/>
      <c r="R34" s="125" t="s">
        <v>69</v>
      </c>
      <c r="S34" s="133"/>
      <c r="T34" s="76">
        <f>SUM(T3:T33)</f>
        <v>121.6</v>
      </c>
      <c r="V34" s="12"/>
      <c r="W34" s="125" t="s">
        <v>74</v>
      </c>
      <c r="X34" s="127"/>
      <c r="Y34" s="88">
        <f>SUM(Y3:Y33)</f>
        <v>2.5</v>
      </c>
    </row>
  </sheetData>
  <mergeCells count="10">
    <mergeCell ref="B1:E1"/>
    <mergeCell ref="C33:D33"/>
    <mergeCell ref="L1:O1"/>
    <mergeCell ref="M33:N33"/>
    <mergeCell ref="V1:Y1"/>
    <mergeCell ref="W34:X34"/>
    <mergeCell ref="Q1:T1"/>
    <mergeCell ref="R34:S34"/>
    <mergeCell ref="G1:J1"/>
    <mergeCell ref="H34:I34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2014</vt:lpstr>
      <vt:lpstr>2015</vt:lpstr>
      <vt:lpstr>2016</vt:lpstr>
      <vt:lpstr>2017</vt:lpstr>
      <vt:lpstr>Pluviomètrie Nangolo 2018</vt:lpstr>
      <vt:lpstr>Pluviomètrie Nangolo 2019</vt:lpstr>
      <vt:lpstr>Pluviomètre Barrage 2019</vt:lpstr>
      <vt:lpstr>Pluviometrie New Camp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Nacoukma</dc:creator>
  <cp:lastModifiedBy>PC</cp:lastModifiedBy>
  <dcterms:created xsi:type="dcterms:W3CDTF">2017-06-06T07:17:15Z</dcterms:created>
  <dcterms:modified xsi:type="dcterms:W3CDTF">2024-04-02T23:41:47Z</dcterms:modified>
</cp:coreProperties>
</file>