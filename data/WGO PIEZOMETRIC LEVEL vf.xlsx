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83D647AD-7977-4EE5-9B17-46948DC09A2E}" xr6:coauthVersionLast="47" xr6:coauthVersionMax="47" xr10:uidLastSave="{00000000-0000-0000-0000-000000000000}"/>
  <bookViews>
    <workbookView xWindow="-110" yWindow="-110" windowWidth="19420" windowHeight="10300" firstSheet="7" activeTab="8" xr2:uid="{00000000-000D-0000-FFFF-FFFF00000000}"/>
  </bookViews>
  <sheets>
    <sheet name="WGWP2" sheetId="1" r:id="rId1"/>
    <sheet name="WGWP6" sheetId="2" r:id="rId2"/>
    <sheet name="WGWP4" sheetId="3" r:id="rId3"/>
    <sheet name="WGWP9" sheetId="11" r:id="rId4"/>
    <sheet name="WGWP10" sheetId="12" r:id="rId5"/>
    <sheet name="WGWP11" sheetId="13" r:id="rId6"/>
    <sheet name="WGWP12" sheetId="14" r:id="rId7"/>
    <sheet name="WGWP8" sheetId="8" r:id="rId8"/>
    <sheet name="WGWP5" sheetId="9" r:id="rId9"/>
    <sheet name="WGWP13" sheetId="15" r:id="rId10"/>
    <sheet name="WGWP14" sheetId="16" r:id="rId11"/>
    <sheet name="WGWP15" sheetId="17" r:id="rId12"/>
    <sheet name="WGWP16" sheetId="18" r:id="rId13"/>
    <sheet name="WGWP17" sheetId="19" r:id="rId14"/>
    <sheet name="WGWP18" sheetId="20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1" i="2" l="1"/>
  <c r="D172" i="2"/>
  <c r="D170" i="2"/>
  <c r="D106" i="9"/>
  <c r="D107" i="9"/>
  <c r="D105" i="8"/>
  <c r="D106" i="8"/>
  <c r="D48" i="14"/>
  <c r="D49" i="14"/>
  <c r="D48" i="13"/>
  <c r="D49" i="13"/>
  <c r="D48" i="12"/>
  <c r="D49" i="12"/>
  <c r="D48" i="11"/>
  <c r="D49" i="11"/>
  <c r="D179" i="3"/>
  <c r="D180" i="3"/>
  <c r="D175" i="1"/>
  <c r="D176" i="1"/>
  <c r="D47" i="14"/>
  <c r="D46" i="14"/>
  <c r="D47" i="13"/>
  <c r="D46" i="13"/>
  <c r="D46" i="12"/>
  <c r="D47" i="12"/>
  <c r="D46" i="11"/>
  <c r="D47" i="11"/>
  <c r="D177" i="3"/>
  <c r="D178" i="3"/>
  <c r="D169" i="2"/>
  <c r="D173" i="1"/>
  <c r="D174" i="1"/>
  <c r="D104" i="9" l="1"/>
  <c r="D105" i="9"/>
  <c r="D103" i="8"/>
  <c r="D104" i="8"/>
  <c r="D102" i="9"/>
  <c r="D101" i="8"/>
  <c r="D44" i="14"/>
  <c r="D44" i="13"/>
  <c r="D44" i="12"/>
  <c r="D45" i="12"/>
  <c r="D44" i="11"/>
  <c r="D175" i="3" l="1"/>
  <c r="D167" i="2"/>
  <c r="D171" i="1"/>
  <c r="D102" i="8"/>
  <c r="D172" i="1" l="1"/>
  <c r="D168" i="2"/>
  <c r="D176" i="3"/>
  <c r="D45" i="11"/>
  <c r="D45" i="13"/>
  <c r="D45" i="14"/>
  <c r="D103" i="9"/>
  <c r="D101" i="9"/>
  <c r="D3" i="12"/>
  <c r="D99" i="8"/>
  <c r="D100" i="8"/>
  <c r="D100" i="9"/>
  <c r="D42" i="14"/>
  <c r="D43" i="14"/>
  <c r="D42" i="13"/>
  <c r="D43" i="13"/>
  <c r="D42" i="12"/>
  <c r="D43" i="12"/>
  <c r="D42" i="11"/>
  <c r="D43" i="11"/>
  <c r="D173" i="3"/>
  <c r="D174" i="3"/>
  <c r="D166" i="2"/>
  <c r="D170" i="1"/>
  <c r="D169" i="1"/>
  <c r="D98" i="8"/>
  <c r="D168" i="1"/>
  <c r="D165" i="2"/>
  <c r="D172" i="3"/>
  <c r="D41" i="11"/>
  <c r="D41" i="12"/>
  <c r="D41" i="13"/>
  <c r="D41" i="14"/>
  <c r="D98" i="9"/>
  <c r="D99" i="9"/>
  <c r="D97" i="8"/>
  <c r="D40" i="14"/>
  <c r="D40" i="13"/>
  <c r="D40" i="12"/>
  <c r="D40" i="11"/>
  <c r="D171" i="3"/>
  <c r="D164" i="2"/>
  <c r="D167" i="1"/>
  <c r="D96" i="8"/>
  <c r="D39" i="13"/>
  <c r="D39" i="12"/>
  <c r="D39" i="11"/>
  <c r="D170" i="3"/>
  <c r="D163" i="2"/>
  <c r="D166" i="1"/>
  <c r="D38" i="13"/>
  <c r="D38" i="14"/>
  <c r="D39" i="14"/>
  <c r="D165" i="1"/>
  <c r="D162" i="2"/>
  <c r="D169" i="3"/>
  <c r="D38" i="11"/>
  <c r="D38" i="12"/>
  <c r="D37" i="14"/>
  <c r="D95" i="8"/>
  <c r="D97" i="9"/>
  <c r="D96" i="9"/>
  <c r="D95" i="9"/>
  <c r="D94" i="9"/>
  <c r="D94" i="8"/>
  <c r="D35" i="14"/>
  <c r="D36" i="14"/>
  <c r="D36" i="13"/>
  <c r="D37" i="13"/>
  <c r="D36" i="12"/>
  <c r="D37" i="12"/>
  <c r="D36" i="11"/>
  <c r="D37" i="11"/>
  <c r="D168" i="3"/>
  <c r="D161" i="2"/>
  <c r="D164" i="1"/>
  <c r="D93" i="8"/>
  <c r="D93" i="9"/>
  <c r="D167" i="3"/>
  <c r="D160" i="2"/>
  <c r="D163" i="1"/>
  <c r="D92" i="9"/>
  <c r="D90" i="9"/>
  <c r="D91" i="9"/>
  <c r="D89" i="8"/>
  <c r="D90" i="8"/>
  <c r="D91" i="8"/>
  <c r="D92" i="8"/>
  <c r="D159" i="2"/>
  <c r="D158" i="2"/>
  <c r="D157" i="2"/>
  <c r="D166" i="3"/>
  <c r="D165" i="3"/>
  <c r="D164" i="3"/>
  <c r="D34" i="11"/>
  <c r="D35" i="11"/>
  <c r="D33" i="11"/>
  <c r="D32" i="11"/>
  <c r="D34" i="12"/>
  <c r="D35" i="12"/>
  <c r="D33" i="12"/>
  <c r="D32" i="12"/>
  <c r="D34" i="13"/>
  <c r="D35" i="13"/>
  <c r="D33" i="13"/>
  <c r="D32" i="13"/>
  <c r="D33" i="14"/>
  <c r="D34" i="14"/>
  <c r="D31" i="14"/>
  <c r="D32" i="14"/>
  <c r="D26" i="14"/>
  <c r="D27" i="14"/>
  <c r="D28" i="14"/>
  <c r="D29" i="14"/>
  <c r="D30" i="14"/>
  <c r="D24" i="14"/>
  <c r="D25" i="14"/>
  <c r="D27" i="12"/>
  <c r="D24" i="12"/>
  <c r="D17" i="12"/>
  <c r="D161" i="1" l="1"/>
  <c r="D155" i="1"/>
  <c r="D162" i="1"/>
  <c r="D160" i="1" l="1"/>
  <c r="D159" i="1"/>
  <c r="D158" i="1"/>
  <c r="D157" i="1"/>
  <c r="D156" i="1"/>
  <c r="D153" i="2"/>
  <c r="D154" i="2"/>
  <c r="D155" i="2"/>
  <c r="D156" i="2"/>
  <c r="D163" i="3"/>
  <c r="D160" i="3"/>
  <c r="D161" i="3"/>
  <c r="D162" i="3"/>
  <c r="D28" i="11"/>
  <c r="D29" i="11"/>
  <c r="D30" i="11"/>
  <c r="D31" i="11"/>
  <c r="D28" i="12"/>
  <c r="D29" i="12"/>
  <c r="D30" i="12"/>
  <c r="D31" i="12"/>
  <c r="D28" i="13"/>
  <c r="D29" i="13"/>
  <c r="D30" i="13"/>
  <c r="D31" i="13"/>
  <c r="D85" i="8"/>
  <c r="D86" i="8"/>
  <c r="D87" i="8"/>
  <c r="D88" i="8"/>
  <c r="D89" i="9"/>
  <c r="D85" i="9"/>
  <c r="D88" i="9"/>
  <c r="D87" i="9"/>
  <c r="D86" i="9"/>
  <c r="D150" i="2" l="1"/>
  <c r="D152" i="1"/>
  <c r="D153" i="1"/>
  <c r="D154" i="1"/>
  <c r="D84" i="8"/>
  <c r="D83" i="8"/>
  <c r="D82" i="8"/>
  <c r="D81" i="8"/>
  <c r="D23" i="14"/>
  <c r="D27" i="13"/>
  <c r="D26" i="13"/>
  <c r="D25" i="13"/>
  <c r="D24" i="13"/>
  <c r="D26" i="12"/>
  <c r="D25" i="12"/>
  <c r="D27" i="11"/>
  <c r="D26" i="11"/>
  <c r="D25" i="11"/>
  <c r="D24" i="11"/>
  <c r="D159" i="3"/>
  <c r="D158" i="3"/>
  <c r="D157" i="3"/>
  <c r="D156" i="3"/>
  <c r="D152" i="2"/>
  <c r="D151" i="2"/>
  <c r="D149" i="2"/>
  <c r="D82" i="9"/>
  <c r="D83" i="9"/>
  <c r="D84" i="9"/>
  <c r="D78" i="9"/>
  <c r="D79" i="9"/>
  <c r="D80" i="9"/>
  <c r="D81" i="9"/>
  <c r="D78" i="8"/>
  <c r="D79" i="8"/>
  <c r="D80" i="8"/>
  <c r="D20" i="14"/>
  <c r="D21" i="14"/>
  <c r="D22" i="14"/>
  <c r="D21" i="13"/>
  <c r="D22" i="13"/>
  <c r="D23" i="13"/>
  <c r="D21" i="12"/>
  <c r="D22" i="12"/>
  <c r="D23" i="12"/>
  <c r="D21" i="11"/>
  <c r="D22" i="11"/>
  <c r="D23" i="11"/>
  <c r="D153" i="3"/>
  <c r="D154" i="3"/>
  <c r="D155" i="3"/>
  <c r="D146" i="2"/>
  <c r="D147" i="2"/>
  <c r="D148" i="2"/>
  <c r="D151" i="1"/>
  <c r="D150" i="1"/>
  <c r="D149" i="1"/>
  <c r="D148" i="1"/>
  <c r="D147" i="1"/>
  <c r="D146" i="1"/>
  <c r="D145" i="1"/>
  <c r="D144" i="2"/>
  <c r="D145" i="2"/>
  <c r="D143" i="2"/>
  <c r="D152" i="3"/>
  <c r="D151" i="3"/>
  <c r="D150" i="3"/>
  <c r="D20" i="11"/>
  <c r="D19" i="11"/>
  <c r="D18" i="11"/>
  <c r="D20" i="12"/>
  <c r="D19" i="12"/>
  <c r="D18" i="12"/>
  <c r="D20" i="13"/>
  <c r="D19" i="13"/>
  <c r="D18" i="13"/>
  <c r="D19" i="14"/>
  <c r="D18" i="14"/>
  <c r="D17" i="14"/>
  <c r="D77" i="8"/>
  <c r="D76" i="8"/>
  <c r="D75" i="8"/>
  <c r="D77" i="9"/>
  <c r="D76" i="9"/>
  <c r="D15" i="14"/>
  <c r="D16" i="13"/>
  <c r="D16" i="12"/>
  <c r="D16" i="11"/>
  <c r="D148" i="3"/>
  <c r="D74" i="9"/>
  <c r="D73" i="8"/>
  <c r="D141" i="2"/>
  <c r="D143" i="1"/>
  <c r="D71" i="9"/>
  <c r="D72" i="9"/>
  <c r="D73" i="9"/>
  <c r="D75" i="9"/>
  <c r="D70" i="8"/>
  <c r="D71" i="8"/>
  <c r="D72" i="8"/>
  <c r="D74" i="8"/>
  <c r="D140" i="1"/>
  <c r="D141" i="1"/>
  <c r="D142" i="1"/>
  <c r="D144" i="1"/>
  <c r="D139" i="2"/>
  <c r="D140" i="2"/>
  <c r="D142" i="2"/>
  <c r="D145" i="3"/>
  <c r="D146" i="3"/>
  <c r="D147" i="3"/>
  <c r="D149" i="3"/>
  <c r="D12" i="14"/>
  <c r="D13" i="14"/>
  <c r="D14" i="14"/>
  <c r="D16" i="14"/>
  <c r="D13" i="13"/>
  <c r="D14" i="13"/>
  <c r="D15" i="13"/>
  <c r="D17" i="13"/>
  <c r="D13" i="12"/>
  <c r="D14" i="12"/>
  <c r="D15" i="12"/>
  <c r="D13" i="11"/>
  <c r="D14" i="11"/>
  <c r="D15" i="11"/>
  <c r="D17" i="11"/>
  <c r="D139" i="1"/>
  <c r="D138" i="1"/>
  <c r="D137" i="1"/>
  <c r="D138" i="2"/>
  <c r="D137" i="2"/>
  <c r="D136" i="2"/>
  <c r="D133" i="2"/>
  <c r="D134" i="2"/>
  <c r="D135" i="2"/>
  <c r="D144" i="3"/>
  <c r="D143" i="3"/>
  <c r="D142" i="3"/>
  <c r="D11" i="14"/>
  <c r="D10" i="14"/>
  <c r="D9" i="14"/>
  <c r="D69" i="8"/>
  <c r="D68" i="8"/>
  <c r="D67" i="8"/>
  <c r="D70" i="9"/>
  <c r="D69" i="9"/>
  <c r="D68" i="9"/>
  <c r="D67" i="9"/>
  <c r="D12" i="13"/>
  <c r="D11" i="13"/>
  <c r="D10" i="13"/>
  <c r="D9" i="13"/>
  <c r="D12" i="12"/>
  <c r="D11" i="12"/>
  <c r="D10" i="12"/>
  <c r="D9" i="12"/>
  <c r="D12" i="11"/>
  <c r="D11" i="11"/>
  <c r="D10" i="11"/>
  <c r="D9" i="11"/>
  <c r="D7" i="14"/>
  <c r="D8" i="11"/>
  <c r="D8" i="14"/>
  <c r="D5" i="14"/>
  <c r="D6" i="14"/>
  <c r="D4" i="14"/>
  <c r="D3" i="14"/>
  <c r="D5" i="13"/>
  <c r="D6" i="13"/>
  <c r="D7" i="13"/>
  <c r="D8" i="13"/>
  <c r="D4" i="13"/>
  <c r="D3" i="13"/>
  <c r="D8" i="12"/>
  <c r="D7" i="12"/>
  <c r="D5" i="12"/>
  <c r="D6" i="12"/>
  <c r="D4" i="12"/>
  <c r="D7" i="11"/>
  <c r="D5" i="11"/>
  <c r="D6" i="11"/>
  <c r="D4" i="11"/>
  <c r="D3" i="11"/>
  <c r="D65" i="9"/>
  <c r="D66" i="9"/>
  <c r="D139" i="3" l="1"/>
  <c r="D141" i="3"/>
  <c r="D140" i="3"/>
  <c r="D138" i="3"/>
  <c r="D132" i="2"/>
  <c r="D134" i="1"/>
  <c r="D135" i="1"/>
  <c r="D136" i="1"/>
  <c r="D133" i="1"/>
  <c r="D136" i="3"/>
  <c r="D130" i="2"/>
  <c r="D131" i="1"/>
  <c r="D64" i="9"/>
  <c r="D63" i="9"/>
  <c r="D65" i="8"/>
  <c r="D66" i="8"/>
  <c r="D64" i="8"/>
  <c r="D63" i="8"/>
  <c r="D61" i="8"/>
  <c r="D61" i="9"/>
  <c r="D132" i="1"/>
  <c r="D130" i="1"/>
  <c r="D129" i="1"/>
  <c r="D131" i="2"/>
  <c r="D129" i="2"/>
  <c r="D137" i="3"/>
  <c r="D135" i="3"/>
  <c r="D134" i="3"/>
  <c r="D62" i="9"/>
  <c r="D60" i="9"/>
  <c r="D59" i="9"/>
  <c r="D58" i="9"/>
  <c r="D55" i="9"/>
  <c r="D56" i="9"/>
  <c r="D57" i="9"/>
  <c r="D59" i="8" l="1"/>
  <c r="D60" i="8"/>
  <c r="D62" i="8"/>
  <c r="D54" i="9" l="1"/>
  <c r="D58" i="8"/>
  <c r="D57" i="8"/>
  <c r="D56" i="8"/>
  <c r="D55" i="8"/>
  <c r="D133" i="3"/>
  <c r="D132" i="3"/>
  <c r="D131" i="3"/>
  <c r="D130" i="3"/>
  <c r="D128" i="2"/>
  <c r="D127" i="2"/>
  <c r="D126" i="2"/>
  <c r="D125" i="2"/>
  <c r="D125" i="1"/>
  <c r="D126" i="1"/>
  <c r="D127" i="1"/>
  <c r="D128" i="1"/>
  <c r="D127" i="3" l="1"/>
  <c r="D128" i="3"/>
  <c r="D129" i="3"/>
  <c r="D126" i="3"/>
  <c r="D51" i="9"/>
  <c r="D52" i="9"/>
  <c r="D53" i="9"/>
  <c r="D50" i="9"/>
  <c r="D52" i="8"/>
  <c r="D53" i="8"/>
  <c r="D54" i="8"/>
  <c r="D51" i="8"/>
  <c r="D122" i="2"/>
  <c r="D123" i="2"/>
  <c r="D124" i="2"/>
  <c r="D121" i="2"/>
  <c r="D122" i="1"/>
  <c r="D123" i="1"/>
  <c r="D124" i="1"/>
  <c r="D121" i="1"/>
  <c r="D120" i="1"/>
  <c r="D48" i="9" l="1"/>
  <c r="D49" i="8"/>
  <c r="D125" i="3"/>
  <c r="D124" i="3"/>
  <c r="D120" i="2"/>
  <c r="D119" i="2"/>
  <c r="D119" i="1"/>
  <c r="D118" i="1"/>
  <c r="D116" i="1" l="1"/>
  <c r="D117" i="1"/>
  <c r="D117" i="2"/>
  <c r="D122" i="3"/>
  <c r="D50" i="8"/>
  <c r="D49" i="9"/>
  <c r="D47" i="8"/>
  <c r="D46" i="9"/>
  <c r="D118" i="2" l="1"/>
  <c r="D123" i="3" l="1"/>
  <c r="D48" i="8"/>
  <c r="D47" i="9"/>
  <c r="D42" i="9" l="1"/>
  <c r="D43" i="8"/>
  <c r="D121" i="3"/>
  <c r="D120" i="3"/>
  <c r="D119" i="3"/>
  <c r="D116" i="2"/>
  <c r="D115" i="2"/>
  <c r="D114" i="2"/>
  <c r="D115" i="1"/>
  <c r="D114" i="1"/>
  <c r="D45" i="8"/>
  <c r="D46" i="8"/>
  <c r="D44" i="8"/>
  <c r="D45" i="9"/>
  <c r="D43" i="9"/>
  <c r="D44" i="9"/>
  <c r="D41" i="9" l="1"/>
  <c r="D42" i="8"/>
  <c r="D118" i="3"/>
  <c r="D113" i="2"/>
  <c r="D113" i="1"/>
  <c r="D110" i="1"/>
  <c r="D41" i="8" l="1"/>
  <c r="D117" i="3" l="1"/>
  <c r="D39" i="9"/>
  <c r="D112" i="2"/>
  <c r="D112" i="1"/>
  <c r="D111" i="1"/>
  <c r="D40" i="8"/>
  <c r="D40" i="9"/>
  <c r="D38" i="9"/>
  <c r="D37" i="9"/>
  <c r="D36" i="9"/>
  <c r="D35" i="9"/>
  <c r="D34" i="9"/>
  <c r="D33" i="9"/>
  <c r="D32" i="9"/>
  <c r="D31" i="9"/>
  <c r="D28" i="9"/>
  <c r="D110" i="2" l="1"/>
  <c r="D115" i="3"/>
  <c r="D38" i="8"/>
  <c r="D116" i="3" l="1"/>
  <c r="D111" i="2"/>
  <c r="D114" i="3" l="1"/>
  <c r="D108" i="1"/>
  <c r="D107" i="1"/>
  <c r="D109" i="2"/>
  <c r="D36" i="8" l="1"/>
  <c r="D35" i="8"/>
  <c r="D39" i="8"/>
  <c r="D37" i="8"/>
  <c r="D113" i="3" l="1"/>
  <c r="D108" i="2"/>
  <c r="D103" i="1"/>
  <c r="D100" i="1"/>
  <c r="D99" i="1"/>
  <c r="D98" i="1"/>
  <c r="D109" i="1" l="1"/>
  <c r="D112" i="3" l="1"/>
  <c r="D107" i="2"/>
  <c r="D34" i="8" l="1"/>
  <c r="D111" i="3"/>
  <c r="D106" i="2"/>
  <c r="D106" i="1"/>
  <c r="D105" i="1" l="1"/>
  <c r="D105" i="2"/>
  <c r="D110" i="3"/>
  <c r="D33" i="8"/>
  <c r="D109" i="3" l="1"/>
  <c r="D104" i="1"/>
  <c r="D32" i="8"/>
  <c r="D104" i="2"/>
  <c r="D103" i="2"/>
  <c r="D10" i="8" l="1"/>
  <c r="D30" i="8"/>
  <c r="C106" i="3" l="1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D25" i="8" l="1"/>
  <c r="D28" i="8"/>
  <c r="D31" i="8"/>
  <c r="D102" i="1"/>
  <c r="D4" i="2" l="1"/>
  <c r="D107" i="3" l="1"/>
  <c r="D30" i="9"/>
  <c r="D108" i="3" l="1"/>
  <c r="D29" i="9" l="1"/>
  <c r="D102" i="2"/>
  <c r="D29" i="8" l="1"/>
  <c r="D101" i="2"/>
  <c r="D101" i="1"/>
  <c r="D100" i="2" l="1"/>
  <c r="D27" i="8" l="1"/>
  <c r="D27" i="9" l="1"/>
  <c r="D26" i="8"/>
  <c r="D90" i="3"/>
  <c r="D26" i="9" l="1"/>
  <c r="D99" i="2" l="1"/>
  <c r="D25" i="9" l="1"/>
  <c r="D24" i="8"/>
  <c r="D24" i="9" l="1"/>
  <c r="D23" i="8"/>
  <c r="D97" i="1" l="1"/>
  <c r="D96" i="1"/>
  <c r="D98" i="2"/>
  <c r="D97" i="2"/>
  <c r="D23" i="9" l="1"/>
  <c r="D95" i="1" l="1"/>
  <c r="D22" i="8"/>
  <c r="D22" i="9"/>
  <c r="D21" i="9" l="1"/>
  <c r="D21" i="8"/>
  <c r="D20" i="9" l="1"/>
  <c r="D20" i="8"/>
  <c r="D19" i="9" l="1"/>
  <c r="D19" i="8"/>
  <c r="D93" i="2"/>
  <c r="D94" i="2"/>
  <c r="D95" i="2"/>
  <c r="D96" i="2"/>
  <c r="D92" i="1"/>
  <c r="D94" i="1"/>
  <c r="D93" i="1"/>
  <c r="D18" i="9" l="1"/>
  <c r="D18" i="8" l="1"/>
  <c r="D17" i="9" l="1"/>
  <c r="D16" i="9"/>
  <c r="D15" i="9"/>
  <c r="D14" i="9"/>
  <c r="D9" i="9"/>
  <c r="D10" i="9"/>
  <c r="D11" i="9"/>
  <c r="D12" i="9"/>
  <c r="D17" i="8"/>
  <c r="D16" i="8"/>
  <c r="D15" i="8"/>
  <c r="D14" i="8"/>
  <c r="D91" i="1"/>
  <c r="D90" i="1"/>
  <c r="D89" i="1"/>
  <c r="D88" i="1"/>
  <c r="D92" i="2"/>
  <c r="D91" i="2"/>
  <c r="D90" i="2"/>
  <c r="D89" i="2"/>
  <c r="D87" i="1"/>
  <c r="D88" i="2"/>
  <c r="D13" i="8"/>
  <c r="D12" i="8"/>
  <c r="D11" i="8"/>
  <c r="D13" i="9"/>
  <c r="D89" i="3"/>
  <c r="D87" i="2"/>
  <c r="D86" i="1"/>
  <c r="D86" i="2"/>
  <c r="D85" i="1"/>
  <c r="D88" i="3"/>
  <c r="D84" i="1"/>
  <c r="D85" i="2"/>
  <c r="D87" i="3"/>
  <c r="D9" i="8"/>
  <c r="D86" i="3"/>
  <c r="D84" i="2"/>
  <c r="D83" i="1"/>
  <c r="D8" i="9"/>
  <c r="D8" i="8"/>
  <c r="D83" i="2"/>
  <c r="D85" i="3"/>
  <c r="D82" i="1"/>
  <c r="D7" i="9"/>
  <c r="D7" i="8"/>
  <c r="D84" i="3"/>
  <c r="D82" i="2"/>
  <c r="D81" i="1"/>
  <c r="D83" i="3"/>
  <c r="D81" i="2"/>
  <c r="D80" i="1"/>
  <c r="D6" i="8"/>
  <c r="D6" i="9"/>
  <c r="D4" i="9"/>
  <c r="D5" i="9"/>
  <c r="D3" i="9"/>
  <c r="D4" i="8"/>
  <c r="D5" i="8"/>
  <c r="D3" i="8"/>
  <c r="D79" i="1"/>
  <c r="D78" i="1"/>
  <c r="D77" i="1"/>
  <c r="D76" i="1"/>
  <c r="D80" i="2"/>
  <c r="D79" i="2"/>
  <c r="D78" i="2"/>
  <c r="D77" i="2"/>
  <c r="D81" i="3"/>
  <c r="D79" i="3"/>
  <c r="D80" i="3"/>
  <c r="D82" i="3"/>
  <c r="D75" i="1"/>
  <c r="D76" i="2"/>
  <c r="D78" i="3"/>
  <c r="D77" i="3"/>
  <c r="D75" i="2"/>
  <c r="D74" i="1"/>
  <c r="D76" i="3"/>
  <c r="D75" i="3"/>
  <c r="D74" i="2"/>
  <c r="D73" i="1"/>
  <c r="D73" i="2"/>
  <c r="D72" i="1"/>
  <c r="D72" i="2"/>
  <c r="D71" i="1"/>
  <c r="D70" i="1"/>
  <c r="D69" i="1"/>
  <c r="D70" i="2"/>
  <c r="D71" i="2"/>
  <c r="D72" i="3"/>
  <c r="D73" i="3"/>
  <c r="D74" i="3"/>
  <c r="D68" i="1"/>
  <c r="D69" i="2"/>
  <c r="D71" i="3"/>
  <c r="D68" i="2"/>
  <c r="D66" i="1"/>
  <c r="D67" i="1"/>
  <c r="D70" i="3"/>
  <c r="D69" i="3"/>
  <c r="D67" i="2"/>
  <c r="D66" i="2"/>
  <c r="D65" i="1"/>
  <c r="D68" i="3"/>
  <c r="D67" i="3"/>
  <c r="D66" i="3"/>
  <c r="D65" i="2"/>
  <c r="D64" i="1"/>
  <c r="D64" i="2"/>
  <c r="D63" i="1"/>
  <c r="D62" i="1"/>
  <c r="D63" i="2"/>
  <c r="D65" i="3"/>
  <c r="D64" i="3"/>
  <c r="D62" i="2"/>
  <c r="D61" i="1"/>
  <c r="D60" i="1"/>
  <c r="D61" i="2"/>
  <c r="D63" i="3"/>
  <c r="D62" i="3"/>
  <c r="D60" i="2"/>
  <c r="D59" i="1"/>
  <c r="D59" i="2"/>
  <c r="D61" i="3"/>
  <c r="D56" i="1"/>
  <c r="D58" i="1"/>
  <c r="D57" i="1"/>
  <c r="D60" i="3"/>
  <c r="D58" i="2"/>
  <c r="D59" i="3"/>
  <c r="D57" i="2"/>
  <c r="D55" i="1"/>
  <c r="D56" i="2"/>
  <c r="D58" i="3"/>
  <c r="D54" i="1"/>
  <c r="D55" i="2"/>
  <c r="D57" i="3"/>
  <c r="D56" i="3"/>
  <c r="D55" i="3"/>
  <c r="D54" i="2"/>
  <c r="D53" i="2"/>
  <c r="D53" i="1"/>
  <c r="D52" i="1"/>
  <c r="D54" i="3"/>
  <c r="D49" i="3"/>
  <c r="D52" i="2"/>
  <c r="D47" i="2"/>
  <c r="D51" i="1"/>
  <c r="D46" i="1"/>
  <c r="D50" i="1"/>
  <c r="D51" i="2"/>
  <c r="D53" i="3"/>
  <c r="D49" i="1"/>
  <c r="D50" i="2"/>
  <c r="D52" i="3"/>
  <c r="D51" i="3"/>
  <c r="D50" i="3"/>
  <c r="D48" i="1"/>
  <c r="D49" i="2"/>
  <c r="D48" i="2"/>
  <c r="D47" i="1"/>
  <c r="D45" i="1"/>
  <c r="D46" i="2"/>
  <c r="D48" i="3"/>
  <c r="D47" i="3"/>
  <c r="D45" i="2"/>
  <c r="D44" i="1"/>
  <c r="D46" i="3"/>
  <c r="D44" i="2"/>
  <c r="D43" i="1"/>
  <c r="D42" i="1"/>
  <c r="D43" i="2"/>
  <c r="D45" i="3"/>
  <c r="D44" i="3"/>
  <c r="D42" i="2"/>
  <c r="D41" i="1"/>
  <c r="D43" i="3"/>
  <c r="D41" i="2"/>
  <c r="D40" i="1"/>
  <c r="D42" i="3"/>
  <c r="D40" i="2"/>
  <c r="D39" i="1"/>
  <c r="D38" i="1"/>
  <c r="D39" i="2"/>
  <c r="D41" i="3"/>
  <c r="D40" i="3"/>
  <c r="D38" i="2"/>
  <c r="D37" i="1"/>
  <c r="D39" i="3"/>
  <c r="D37" i="2"/>
  <c r="D36" i="1"/>
  <c r="D38" i="3"/>
  <c r="D35" i="1"/>
  <c r="D36" i="2"/>
  <c r="D37" i="3"/>
  <c r="D35" i="2"/>
  <c r="D34" i="1"/>
  <c r="D36" i="3"/>
  <c r="D34" i="2"/>
  <c r="D33" i="1"/>
  <c r="D33" i="3"/>
  <c r="D33" i="2"/>
  <c r="D32" i="1"/>
  <c r="D34" i="3"/>
  <c r="D35" i="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8" i="1"/>
  <c r="D29" i="1"/>
  <c r="D31" i="1"/>
  <c r="D3" i="1"/>
  <c r="C23" i="1"/>
  <c r="D23" i="1" s="1"/>
  <c r="C24" i="1"/>
  <c r="D24" i="1" s="1"/>
  <c r="C25" i="1"/>
  <c r="D25" i="1" s="1"/>
  <c r="C26" i="1"/>
  <c r="D26" i="1" s="1"/>
  <c r="C27" i="1"/>
  <c r="D27" i="1" s="1"/>
  <c r="C30" i="1"/>
  <c r="D30" i="1" s="1"/>
  <c r="D32" i="2"/>
  <c r="D31" i="2"/>
  <c r="D32" i="3"/>
  <c r="D31" i="3"/>
  <c r="D30" i="2"/>
  <c r="D29" i="2"/>
  <c r="D30" i="3"/>
  <c r="D28" i="2"/>
  <c r="C25" i="2"/>
  <c r="D25" i="2" s="1"/>
  <c r="C24" i="2"/>
  <c r="D24" i="2" s="1"/>
  <c r="C26" i="2"/>
  <c r="D26" i="2" s="1"/>
  <c r="D27" i="2"/>
  <c r="D29" i="3"/>
  <c r="D28" i="3"/>
  <c r="D26" i="3"/>
  <c r="D27" i="3"/>
  <c r="D25" i="3"/>
  <c r="D23" i="2"/>
  <c r="D22" i="2"/>
  <c r="D24" i="3"/>
  <c r="D23" i="3"/>
  <c r="D21" i="2"/>
  <c r="D22" i="3"/>
  <c r="D20" i="2"/>
  <c r="D21" i="3"/>
  <c r="D19" i="2"/>
  <c r="D20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Nouveau TN a considéré après refection du support de protection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Siaka Ouattara:</t>
        </r>
        <r>
          <rPr>
            <sz val="9"/>
            <color indexed="81"/>
            <rFont val="Tahoma"/>
            <family val="2"/>
          </rPr>
          <t xml:space="preserve">
Ancienne mesure de la hauteur du tuyau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Siaka Ouattara:</t>
        </r>
        <r>
          <rPr>
            <sz val="9"/>
            <color indexed="81"/>
            <rFont val="Tahoma"/>
            <family val="2"/>
          </rPr>
          <t xml:space="preserve">
Repparation du support de protection du piézométre le 28/07/2023
Hauteur actuel du tuyau 1,17m </t>
        </r>
      </text>
    </comment>
  </commentList>
</comments>
</file>

<file path=xl/sharedStrings.xml><?xml version="1.0" encoding="utf-8"?>
<sst xmlns="http://schemas.openxmlformats.org/spreadsheetml/2006/main" count="350" uniqueCount="68">
  <si>
    <t xml:space="preserve">Date </t>
  </si>
  <si>
    <t xml:space="preserve">Aout </t>
  </si>
  <si>
    <t xml:space="preserve">Septembre </t>
  </si>
  <si>
    <t>Juillet</t>
  </si>
  <si>
    <t>Hauteur de tuyau par rapport au TN  0.5m</t>
  </si>
  <si>
    <t>Hauteur de tuyau Par rapport au TN 1.3m</t>
  </si>
  <si>
    <t xml:space="preserve">Octobre  </t>
  </si>
  <si>
    <t xml:space="preserve">Novembre </t>
  </si>
  <si>
    <t xml:space="preserve">Decembre </t>
  </si>
  <si>
    <t xml:space="preserve">Hauteur du tuyau par rapport au TN 1.3m  </t>
  </si>
  <si>
    <t xml:space="preserve">Janvier </t>
  </si>
  <si>
    <t xml:space="preserve">Fevrier </t>
  </si>
  <si>
    <t xml:space="preserve">Février </t>
  </si>
  <si>
    <t xml:space="preserve">Mars </t>
  </si>
  <si>
    <t>Avril</t>
  </si>
  <si>
    <t xml:space="preserve">Mai </t>
  </si>
  <si>
    <t>Juin</t>
  </si>
  <si>
    <t xml:space="preserve">Juillet </t>
  </si>
  <si>
    <t>Août</t>
  </si>
  <si>
    <t xml:space="preserve">Décembre </t>
  </si>
  <si>
    <t>Janvier</t>
  </si>
  <si>
    <t>Hauteur de tuyau par rapport au TN  1.26 m</t>
  </si>
  <si>
    <t>Hauteur de tuyau par rapport au TN  0.79 m</t>
  </si>
  <si>
    <t xml:space="preserve">Avril </t>
  </si>
  <si>
    <t>Mai</t>
  </si>
  <si>
    <t>Septembre</t>
  </si>
  <si>
    <t>Octobre</t>
  </si>
  <si>
    <t>Novembre</t>
  </si>
  <si>
    <t>Décembre</t>
  </si>
  <si>
    <t>Février</t>
  </si>
  <si>
    <t>Hauteur de tuyau par rapport au TN  0.74m</t>
  </si>
  <si>
    <t>Hauteur de tuyau par rapport au TN  0.75 m</t>
  </si>
  <si>
    <t>Hauteur de tuyau par rapport au TN  0.71 m</t>
  </si>
  <si>
    <t>Hauteur de tuyau par rapport au TN  0.74 m</t>
  </si>
  <si>
    <t xml:space="preserve">Août </t>
  </si>
  <si>
    <t>Hauteur de tuyau Par rapport au TN 1.19m</t>
  </si>
  <si>
    <t>Févier</t>
  </si>
  <si>
    <t xml:space="preserve"> Hauteur du tuyau par rapport au TN 1.17m  </t>
  </si>
  <si>
    <t>Month</t>
  </si>
  <si>
    <t>Water level mesured</t>
  </si>
  <si>
    <t>Piezometric level  (m)</t>
  </si>
  <si>
    <t>Piezometer depth: 25m</t>
  </si>
  <si>
    <t xml:space="preserve">August </t>
  </si>
  <si>
    <t>Piezometer depth: 49,50 m</t>
  </si>
  <si>
    <t>Piezometer depth: 60 m</t>
  </si>
  <si>
    <t>Piezometer depth: 50 m</t>
  </si>
  <si>
    <t>Piezometer depth: 49,45 m</t>
  </si>
  <si>
    <t>Piezometer depth: 49,55 m</t>
  </si>
  <si>
    <t>WGWP2</t>
  </si>
  <si>
    <t>WGWP6</t>
  </si>
  <si>
    <t>Piezometer depth: 49</t>
  </si>
  <si>
    <t>WGWP4</t>
  </si>
  <si>
    <t>WGWP9</t>
  </si>
  <si>
    <t>WGWP10</t>
  </si>
  <si>
    <t>WGWP8</t>
  </si>
  <si>
    <t>WGWP5</t>
  </si>
  <si>
    <t>17-Feb-24</t>
  </si>
  <si>
    <t>Niveau piezometrique</t>
  </si>
  <si>
    <t>fevrier</t>
  </si>
  <si>
    <t>Piezometer depth: 120m</t>
  </si>
  <si>
    <t>WGWP13</t>
  </si>
  <si>
    <t>WGWP14</t>
  </si>
  <si>
    <t>Decembre</t>
  </si>
  <si>
    <t>16-Feb-24</t>
  </si>
  <si>
    <t>WGWP15</t>
  </si>
  <si>
    <t>WGWP16</t>
  </si>
  <si>
    <t>WGWP17</t>
  </si>
  <si>
    <t>WGWP18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</si>
</sst>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0" borderId="13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0" fillId="2" borderId="0" xfId="0" applyFill="1"/>
    <xf numFmtId="0" fontId="2" fillId="2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64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17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2" borderId="0" xfId="0" applyFont="1" applyFill="1"/>
    <xf numFmtId="164" fontId="2" fillId="2" borderId="5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3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9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14" fontId="10" fillId="0" borderId="37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"/>
  <sheetViews>
    <sheetView workbookViewId="0">
      <pane xSplit="10" ySplit="2" topLeftCell="K7" activePane="bottomRight" state="frozenSplit"/>
      <selection pane="topRight" activeCell="M1" sqref="M1"/>
      <selection pane="bottomLeft" activeCell="A19" sqref="A19"/>
      <selection pane="bottomRight" activeCell="G15" sqref="G15"/>
    </sheetView>
  </sheetViews>
  <sheetFormatPr baseColWidth="10" defaultColWidth="9.1796875" defaultRowHeight="12" x14ac:dyDescent="0.3"/>
  <cols>
    <col min="1" max="1" width="12.26953125" style="1" customWidth="1"/>
    <col min="2" max="2" width="13.1796875" style="3" customWidth="1"/>
    <col min="3" max="3" width="25.81640625" style="1" customWidth="1"/>
    <col min="4" max="4" width="25.453125" style="1" customWidth="1"/>
    <col min="5" max="5" width="34.81640625" style="2" customWidth="1"/>
    <col min="6" max="6" width="12.81640625" style="2" customWidth="1"/>
    <col min="7" max="7" width="15" style="2" customWidth="1"/>
    <col min="8" max="8" width="7.7265625" style="2" customWidth="1"/>
    <col min="9" max="9" width="21.54296875" style="2" customWidth="1"/>
    <col min="10" max="10" width="17.453125" style="2" customWidth="1"/>
    <col min="11" max="16384" width="9.1796875" style="2"/>
  </cols>
  <sheetData>
    <row r="1" spans="1:5" ht="15" customHeight="1" x14ac:dyDescent="0.3">
      <c r="A1" s="119" t="s">
        <v>47</v>
      </c>
      <c r="B1" s="119"/>
      <c r="C1" s="120" t="s">
        <v>48</v>
      </c>
      <c r="D1" s="121"/>
      <c r="E1" s="4" t="s">
        <v>5</v>
      </c>
    </row>
    <row r="2" spans="1:5" ht="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  <c r="E2" s="4" t="s">
        <v>35</v>
      </c>
    </row>
    <row r="3" spans="1:5" s="9" customFormat="1" ht="12" customHeight="1" x14ac:dyDescent="0.3">
      <c r="A3" s="53" t="s">
        <v>3</v>
      </c>
      <c r="B3" s="29">
        <v>43667</v>
      </c>
      <c r="C3" s="53">
        <v>0.73</v>
      </c>
      <c r="D3" s="53">
        <f>C3-1.3</f>
        <v>-0.57000000000000006</v>
      </c>
    </row>
    <row r="4" spans="1:5" s="9" customFormat="1" ht="12" customHeight="1" x14ac:dyDescent="0.3">
      <c r="A4" s="107" t="s">
        <v>42</v>
      </c>
      <c r="B4" s="29">
        <v>43681</v>
      </c>
      <c r="C4" s="53">
        <v>0.32</v>
      </c>
      <c r="D4" s="53">
        <f t="shared" ref="D4:D31" si="0">C4-1.3</f>
        <v>-0.98</v>
      </c>
    </row>
    <row r="5" spans="1:5" s="9" customFormat="1" ht="12" customHeight="1" x14ac:dyDescent="0.3">
      <c r="A5" s="107"/>
      <c r="B5" s="29">
        <v>43688</v>
      </c>
      <c r="C5" s="53">
        <v>0.35</v>
      </c>
      <c r="D5" s="53">
        <f t="shared" si="0"/>
        <v>-0.95000000000000007</v>
      </c>
    </row>
    <row r="6" spans="1:5" s="9" customFormat="1" ht="12" customHeight="1" x14ac:dyDescent="0.3">
      <c r="A6" s="107"/>
      <c r="B6" s="29">
        <v>43695</v>
      </c>
      <c r="C6" s="53">
        <v>0.84</v>
      </c>
      <c r="D6" s="53">
        <f t="shared" si="0"/>
        <v>-0.46000000000000008</v>
      </c>
    </row>
    <row r="7" spans="1:5" s="9" customFormat="1" ht="12" customHeight="1" x14ac:dyDescent="0.3">
      <c r="A7" s="107"/>
      <c r="B7" s="29">
        <v>43702</v>
      </c>
      <c r="C7" s="53">
        <v>0.77</v>
      </c>
      <c r="D7" s="53">
        <f t="shared" si="0"/>
        <v>-0.53</v>
      </c>
    </row>
    <row r="8" spans="1:5" s="9" customFormat="1" ht="12" customHeight="1" x14ac:dyDescent="0.3">
      <c r="A8" s="107" t="s">
        <v>2</v>
      </c>
      <c r="B8" s="29">
        <v>43709</v>
      </c>
      <c r="C8" s="53">
        <v>0.35</v>
      </c>
      <c r="D8" s="53">
        <f t="shared" si="0"/>
        <v>-0.95000000000000007</v>
      </c>
    </row>
    <row r="9" spans="1:5" s="9" customFormat="1" ht="12" customHeight="1" x14ac:dyDescent="0.3">
      <c r="A9" s="107"/>
      <c r="B9" s="29">
        <v>43716</v>
      </c>
      <c r="C9" s="53">
        <v>0</v>
      </c>
      <c r="D9" s="53">
        <f t="shared" si="0"/>
        <v>-1.3</v>
      </c>
    </row>
    <row r="10" spans="1:5" s="9" customFormat="1" ht="12" customHeight="1" x14ac:dyDescent="0.3">
      <c r="A10" s="107"/>
      <c r="B10" s="29">
        <v>43722</v>
      </c>
      <c r="C10" s="53">
        <v>0</v>
      </c>
      <c r="D10" s="53">
        <f t="shared" si="0"/>
        <v>-1.3</v>
      </c>
    </row>
    <row r="11" spans="1:5" s="9" customFormat="1" ht="12" customHeight="1" x14ac:dyDescent="0.3">
      <c r="A11" s="107"/>
      <c r="B11" s="29">
        <v>43730</v>
      </c>
      <c r="C11" s="53">
        <v>0.46</v>
      </c>
      <c r="D11" s="53">
        <f t="shared" si="0"/>
        <v>-0.84000000000000008</v>
      </c>
    </row>
    <row r="12" spans="1:5" s="9" customFormat="1" ht="12" customHeight="1" x14ac:dyDescent="0.3">
      <c r="A12" s="107"/>
      <c r="B12" s="29">
        <v>43737</v>
      </c>
      <c r="C12" s="53">
        <v>0.25</v>
      </c>
      <c r="D12" s="53">
        <f t="shared" si="0"/>
        <v>-1.05</v>
      </c>
    </row>
    <row r="13" spans="1:5" s="9" customFormat="1" ht="12" customHeight="1" x14ac:dyDescent="0.3">
      <c r="A13" s="107" t="s">
        <v>6</v>
      </c>
      <c r="B13" s="29">
        <v>43743</v>
      </c>
      <c r="C13" s="53">
        <v>0.27</v>
      </c>
      <c r="D13" s="53">
        <f t="shared" si="0"/>
        <v>-1.03</v>
      </c>
    </row>
    <row r="14" spans="1:5" s="9" customFormat="1" ht="12" customHeight="1" x14ac:dyDescent="0.3">
      <c r="A14" s="107"/>
      <c r="B14" s="29">
        <v>43750</v>
      </c>
      <c r="C14" s="53">
        <v>0.71</v>
      </c>
      <c r="D14" s="53">
        <f t="shared" si="0"/>
        <v>-0.59000000000000008</v>
      </c>
    </row>
    <row r="15" spans="1:5" s="9" customFormat="1" ht="12" customHeight="1" x14ac:dyDescent="0.3">
      <c r="A15" s="107"/>
      <c r="B15" s="29">
        <v>43757</v>
      </c>
      <c r="C15" s="53">
        <v>0.75</v>
      </c>
      <c r="D15" s="53">
        <f t="shared" si="0"/>
        <v>-0.55000000000000004</v>
      </c>
    </row>
    <row r="16" spans="1:5" s="9" customFormat="1" ht="12" customHeight="1" x14ac:dyDescent="0.3">
      <c r="A16" s="107"/>
      <c r="B16" s="29">
        <v>43764</v>
      </c>
      <c r="C16" s="53">
        <v>0.8</v>
      </c>
      <c r="D16" s="53">
        <f t="shared" si="0"/>
        <v>-0.5</v>
      </c>
    </row>
    <row r="17" spans="1:4" s="9" customFormat="1" ht="12" customHeight="1" x14ac:dyDescent="0.3">
      <c r="A17" s="108" t="s">
        <v>7</v>
      </c>
      <c r="B17" s="29">
        <v>43771</v>
      </c>
      <c r="C17" s="53">
        <v>0.87</v>
      </c>
      <c r="D17" s="53">
        <f t="shared" si="0"/>
        <v>-0.43000000000000005</v>
      </c>
    </row>
    <row r="18" spans="1:4" s="9" customFormat="1" ht="12" customHeight="1" x14ac:dyDescent="0.3">
      <c r="A18" s="109"/>
      <c r="B18" s="29">
        <v>43778</v>
      </c>
      <c r="C18" s="53">
        <v>0.65</v>
      </c>
      <c r="D18" s="53">
        <f t="shared" si="0"/>
        <v>-0.65</v>
      </c>
    </row>
    <row r="19" spans="1:4" s="9" customFormat="1" ht="12" customHeight="1" x14ac:dyDescent="0.3">
      <c r="A19" s="109"/>
      <c r="B19" s="29">
        <v>43785</v>
      </c>
      <c r="C19" s="53">
        <v>1.05</v>
      </c>
      <c r="D19" s="53">
        <f t="shared" si="0"/>
        <v>-0.25</v>
      </c>
    </row>
    <row r="20" spans="1:4" s="9" customFormat="1" ht="12" customHeight="1" x14ac:dyDescent="0.3">
      <c r="A20" s="109"/>
      <c r="B20" s="29">
        <v>43792</v>
      </c>
      <c r="C20" s="53">
        <v>1.08</v>
      </c>
      <c r="D20" s="53">
        <f t="shared" si="0"/>
        <v>-0.21999999999999997</v>
      </c>
    </row>
    <row r="21" spans="1:4" s="9" customFormat="1" ht="12" customHeight="1" x14ac:dyDescent="0.3">
      <c r="A21" s="110"/>
      <c r="B21" s="29">
        <v>43799</v>
      </c>
      <c r="C21" s="53">
        <v>1.18</v>
      </c>
      <c r="D21" s="53">
        <f t="shared" si="0"/>
        <v>-0.12000000000000011</v>
      </c>
    </row>
    <row r="22" spans="1:4" s="9" customFormat="1" ht="12" customHeight="1" x14ac:dyDescent="0.3">
      <c r="A22" s="111" t="s">
        <v>8</v>
      </c>
      <c r="B22" s="29">
        <v>43806</v>
      </c>
      <c r="C22" s="53">
        <v>1.21</v>
      </c>
      <c r="D22" s="53">
        <f t="shared" si="0"/>
        <v>-9.000000000000008E-2</v>
      </c>
    </row>
    <row r="23" spans="1:4" s="9" customFormat="1" ht="12" customHeight="1" x14ac:dyDescent="0.3">
      <c r="A23" s="112"/>
      <c r="B23" s="29">
        <v>43813</v>
      </c>
      <c r="C23" s="53">
        <f>1.3-1.3</f>
        <v>0</v>
      </c>
      <c r="D23" s="53">
        <f t="shared" si="0"/>
        <v>-1.3</v>
      </c>
    </row>
    <row r="24" spans="1:4" s="9" customFormat="1" ht="12" customHeight="1" x14ac:dyDescent="0.3">
      <c r="A24" s="112"/>
      <c r="B24" s="29">
        <v>43820</v>
      </c>
      <c r="C24" s="53">
        <f>1.38</f>
        <v>1.38</v>
      </c>
      <c r="D24" s="53">
        <f t="shared" si="0"/>
        <v>7.9999999999999849E-2</v>
      </c>
    </row>
    <row r="25" spans="1:4" s="9" customFormat="1" ht="12" customHeight="1" x14ac:dyDescent="0.3">
      <c r="A25" s="113"/>
      <c r="B25" s="29">
        <v>43827</v>
      </c>
      <c r="C25" s="53">
        <f>1.45</f>
        <v>1.45</v>
      </c>
      <c r="D25" s="53">
        <f t="shared" si="0"/>
        <v>0.14999999999999991</v>
      </c>
    </row>
    <row r="26" spans="1:4" s="9" customFormat="1" ht="12" customHeight="1" x14ac:dyDescent="0.3">
      <c r="A26" s="107" t="s">
        <v>10</v>
      </c>
      <c r="B26" s="29">
        <v>43834</v>
      </c>
      <c r="C26" s="53">
        <f>1.52</f>
        <v>1.52</v>
      </c>
      <c r="D26" s="53">
        <f t="shared" si="0"/>
        <v>0.21999999999999997</v>
      </c>
    </row>
    <row r="27" spans="1:4" s="9" customFormat="1" ht="12" customHeight="1" x14ac:dyDescent="0.3">
      <c r="A27" s="107"/>
      <c r="B27" s="29">
        <v>43841</v>
      </c>
      <c r="C27" s="53">
        <f>1.57</f>
        <v>1.57</v>
      </c>
      <c r="D27" s="53">
        <f t="shared" si="0"/>
        <v>0.27</v>
      </c>
    </row>
    <row r="28" spans="1:4" s="9" customFormat="1" ht="12" customHeight="1" x14ac:dyDescent="0.3">
      <c r="A28" s="107"/>
      <c r="B28" s="29">
        <v>43848</v>
      </c>
      <c r="C28" s="53">
        <v>1.6</v>
      </c>
      <c r="D28" s="53">
        <f t="shared" si="0"/>
        <v>0.30000000000000004</v>
      </c>
    </row>
    <row r="29" spans="1:4" s="9" customFormat="1" ht="12" customHeight="1" x14ac:dyDescent="0.3">
      <c r="A29" s="107"/>
      <c r="B29" s="29">
        <v>43854</v>
      </c>
      <c r="C29" s="53">
        <v>1.68</v>
      </c>
      <c r="D29" s="53">
        <f t="shared" si="0"/>
        <v>0.37999999999999989</v>
      </c>
    </row>
    <row r="30" spans="1:4" s="9" customFormat="1" ht="12" customHeight="1" x14ac:dyDescent="0.3">
      <c r="A30" s="107" t="s">
        <v>11</v>
      </c>
      <c r="B30" s="29">
        <v>43862</v>
      </c>
      <c r="C30" s="53">
        <f>1.72</f>
        <v>1.72</v>
      </c>
      <c r="D30" s="53">
        <f t="shared" si="0"/>
        <v>0.41999999999999993</v>
      </c>
    </row>
    <row r="31" spans="1:4" s="9" customFormat="1" ht="12" customHeight="1" x14ac:dyDescent="0.3">
      <c r="A31" s="107"/>
      <c r="B31" s="29">
        <v>43869</v>
      </c>
      <c r="C31" s="53">
        <v>1.74</v>
      </c>
      <c r="D31" s="53">
        <f t="shared" si="0"/>
        <v>0.43999999999999995</v>
      </c>
    </row>
    <row r="32" spans="1:4" s="9" customFormat="1" ht="12" customHeight="1" x14ac:dyDescent="0.3">
      <c r="A32" s="107"/>
      <c r="B32" s="29">
        <v>43876</v>
      </c>
      <c r="C32" s="53">
        <v>1.79</v>
      </c>
      <c r="D32" s="53">
        <f t="shared" ref="D32:D46" si="1">C32-1.3</f>
        <v>0.49</v>
      </c>
    </row>
    <row r="33" spans="1:4" s="9" customFormat="1" ht="12" customHeight="1" x14ac:dyDescent="0.3">
      <c r="A33" s="107"/>
      <c r="B33" s="29">
        <v>43883</v>
      </c>
      <c r="C33" s="53">
        <v>1.89</v>
      </c>
      <c r="D33" s="53">
        <f t="shared" si="1"/>
        <v>0.58999999999999986</v>
      </c>
    </row>
    <row r="34" spans="1:4" s="9" customFormat="1" ht="12" customHeight="1" x14ac:dyDescent="0.3">
      <c r="A34" s="107"/>
      <c r="B34" s="29">
        <v>43890</v>
      </c>
      <c r="C34" s="53">
        <v>1.97</v>
      </c>
      <c r="D34" s="53">
        <f t="shared" si="1"/>
        <v>0.66999999999999993</v>
      </c>
    </row>
    <row r="35" spans="1:4" s="9" customFormat="1" ht="12" customHeight="1" x14ac:dyDescent="0.3">
      <c r="A35" s="107" t="s">
        <v>13</v>
      </c>
      <c r="B35" s="29">
        <v>43897</v>
      </c>
      <c r="C35" s="53">
        <v>2.06</v>
      </c>
      <c r="D35" s="53">
        <f t="shared" si="1"/>
        <v>0.76</v>
      </c>
    </row>
    <row r="36" spans="1:4" s="9" customFormat="1" ht="12" customHeight="1" x14ac:dyDescent="0.3">
      <c r="A36" s="107"/>
      <c r="B36" s="29">
        <v>43904</v>
      </c>
      <c r="C36" s="53">
        <v>2.15</v>
      </c>
      <c r="D36" s="53">
        <f t="shared" si="1"/>
        <v>0.84999999999999987</v>
      </c>
    </row>
    <row r="37" spans="1:4" s="9" customFormat="1" ht="12" customHeight="1" x14ac:dyDescent="0.3">
      <c r="A37" s="107"/>
      <c r="B37" s="29">
        <v>43911</v>
      </c>
      <c r="C37" s="53">
        <v>2.16</v>
      </c>
      <c r="D37" s="53">
        <f t="shared" si="1"/>
        <v>0.8600000000000001</v>
      </c>
    </row>
    <row r="38" spans="1:4" s="9" customFormat="1" ht="12" customHeight="1" x14ac:dyDescent="0.3">
      <c r="A38" s="107"/>
      <c r="B38" s="29">
        <v>43918</v>
      </c>
      <c r="C38" s="53">
        <v>2.2599999999999998</v>
      </c>
      <c r="D38" s="53">
        <f t="shared" si="1"/>
        <v>0.95999999999999974</v>
      </c>
    </row>
    <row r="39" spans="1:4" s="9" customFormat="1" ht="12" customHeight="1" x14ac:dyDescent="0.3">
      <c r="A39" s="107" t="s">
        <v>14</v>
      </c>
      <c r="B39" s="29">
        <v>43925</v>
      </c>
      <c r="C39" s="53">
        <v>2.2999999999999998</v>
      </c>
      <c r="D39" s="53">
        <f t="shared" si="1"/>
        <v>0.99999999999999978</v>
      </c>
    </row>
    <row r="40" spans="1:4" s="9" customFormat="1" ht="12" customHeight="1" x14ac:dyDescent="0.3">
      <c r="A40" s="107"/>
      <c r="B40" s="29">
        <v>43932</v>
      </c>
      <c r="C40" s="53">
        <v>2.48</v>
      </c>
      <c r="D40" s="53">
        <f t="shared" si="1"/>
        <v>1.18</v>
      </c>
    </row>
    <row r="41" spans="1:4" s="9" customFormat="1" ht="12" customHeight="1" x14ac:dyDescent="0.3">
      <c r="A41" s="107"/>
      <c r="B41" s="29">
        <v>43939</v>
      </c>
      <c r="C41" s="53">
        <v>2.59</v>
      </c>
      <c r="D41" s="53">
        <f t="shared" si="1"/>
        <v>1.2899999999999998</v>
      </c>
    </row>
    <row r="42" spans="1:4" s="9" customFormat="1" ht="12" customHeight="1" x14ac:dyDescent="0.3">
      <c r="A42" s="107"/>
      <c r="B42" s="29">
        <v>43946</v>
      </c>
      <c r="C42" s="53">
        <v>2.68</v>
      </c>
      <c r="D42" s="53">
        <f t="shared" si="1"/>
        <v>1.3800000000000001</v>
      </c>
    </row>
    <row r="43" spans="1:4" s="9" customFormat="1" ht="12" customHeight="1" x14ac:dyDescent="0.3">
      <c r="A43" s="107" t="s">
        <v>15</v>
      </c>
      <c r="B43" s="29">
        <v>43953</v>
      </c>
      <c r="C43" s="53">
        <v>2.81</v>
      </c>
      <c r="D43" s="53">
        <f t="shared" si="1"/>
        <v>1.51</v>
      </c>
    </row>
    <row r="44" spans="1:4" s="9" customFormat="1" ht="12" customHeight="1" x14ac:dyDescent="0.3">
      <c r="A44" s="107"/>
      <c r="B44" s="29">
        <v>43960</v>
      </c>
      <c r="C44" s="53">
        <v>2.62</v>
      </c>
      <c r="D44" s="53">
        <f t="shared" si="1"/>
        <v>1.32</v>
      </c>
    </row>
    <row r="45" spans="1:4" s="9" customFormat="1" ht="12" customHeight="1" x14ac:dyDescent="0.3">
      <c r="A45" s="107"/>
      <c r="B45" s="29">
        <v>43967</v>
      </c>
      <c r="C45" s="53">
        <v>2.52</v>
      </c>
      <c r="D45" s="53">
        <f t="shared" si="1"/>
        <v>1.22</v>
      </c>
    </row>
    <row r="46" spans="1:4" s="9" customFormat="1" ht="12" customHeight="1" x14ac:dyDescent="0.3">
      <c r="A46" s="107"/>
      <c r="B46" s="29">
        <v>43974</v>
      </c>
      <c r="C46" s="53">
        <v>2.34</v>
      </c>
      <c r="D46" s="53">
        <f t="shared" si="1"/>
        <v>1.0399999999999998</v>
      </c>
    </row>
    <row r="47" spans="1:4" s="9" customFormat="1" ht="12" customHeight="1" x14ac:dyDescent="0.3">
      <c r="A47" s="107"/>
      <c r="B47" s="29">
        <v>43981</v>
      </c>
      <c r="C47" s="53">
        <v>2.25</v>
      </c>
      <c r="D47" s="53">
        <f t="shared" ref="D47:D54" si="2">C47-1.3</f>
        <v>0.95</v>
      </c>
    </row>
    <row r="48" spans="1:4" s="9" customFormat="1" ht="12" customHeight="1" x14ac:dyDescent="0.3">
      <c r="A48" s="107" t="s">
        <v>16</v>
      </c>
      <c r="B48" s="29">
        <v>43988</v>
      </c>
      <c r="C48" s="53">
        <v>2.1</v>
      </c>
      <c r="D48" s="53">
        <f t="shared" si="2"/>
        <v>0.8</v>
      </c>
    </row>
    <row r="49" spans="1:4" s="9" customFormat="1" ht="12" customHeight="1" x14ac:dyDescent="0.3">
      <c r="A49" s="107"/>
      <c r="B49" s="29">
        <v>43995</v>
      </c>
      <c r="C49" s="53">
        <v>2.21</v>
      </c>
      <c r="D49" s="53">
        <f t="shared" si="2"/>
        <v>0.90999999999999992</v>
      </c>
    </row>
    <row r="50" spans="1:4" s="9" customFormat="1" ht="12" customHeight="1" x14ac:dyDescent="0.3">
      <c r="A50" s="107"/>
      <c r="B50" s="29">
        <v>44002</v>
      </c>
      <c r="C50" s="53">
        <v>2.1800000000000002</v>
      </c>
      <c r="D50" s="53">
        <f t="shared" si="2"/>
        <v>0.88000000000000012</v>
      </c>
    </row>
    <row r="51" spans="1:4" s="9" customFormat="1" ht="12" customHeight="1" x14ac:dyDescent="0.3">
      <c r="A51" s="107"/>
      <c r="B51" s="29">
        <v>44009</v>
      </c>
      <c r="C51" s="53">
        <v>2.21</v>
      </c>
      <c r="D51" s="53">
        <f t="shared" si="2"/>
        <v>0.90999999999999992</v>
      </c>
    </row>
    <row r="52" spans="1:4" s="9" customFormat="1" ht="12" customHeight="1" x14ac:dyDescent="0.3">
      <c r="A52" s="111" t="s">
        <v>17</v>
      </c>
      <c r="B52" s="29">
        <v>44016</v>
      </c>
      <c r="C52" s="53">
        <v>2.12</v>
      </c>
      <c r="D52" s="53">
        <f t="shared" si="2"/>
        <v>0.82000000000000006</v>
      </c>
    </row>
    <row r="53" spans="1:4" s="9" customFormat="1" ht="12" customHeight="1" x14ac:dyDescent="0.3">
      <c r="A53" s="112"/>
      <c r="B53" s="29">
        <v>44023</v>
      </c>
      <c r="C53" s="53">
        <v>2</v>
      </c>
      <c r="D53" s="53">
        <f t="shared" si="2"/>
        <v>0.7</v>
      </c>
    </row>
    <row r="54" spans="1:4" s="9" customFormat="1" ht="12" customHeight="1" x14ac:dyDescent="0.3">
      <c r="A54" s="112"/>
      <c r="B54" s="29">
        <v>44030</v>
      </c>
      <c r="C54" s="53">
        <v>2.09</v>
      </c>
      <c r="D54" s="53">
        <f t="shared" si="2"/>
        <v>0.78999999999999981</v>
      </c>
    </row>
    <row r="55" spans="1:4" s="9" customFormat="1" ht="12" customHeight="1" x14ac:dyDescent="0.3">
      <c r="A55" s="113"/>
      <c r="B55" s="29">
        <v>44037</v>
      </c>
      <c r="C55" s="53">
        <v>1.96</v>
      </c>
      <c r="D55" s="53">
        <f>C55-1.3</f>
        <v>0.65999999999999992</v>
      </c>
    </row>
    <row r="56" spans="1:4" s="9" customFormat="1" ht="12" customHeight="1" x14ac:dyDescent="0.3">
      <c r="A56" s="112"/>
      <c r="B56" s="29">
        <v>44051</v>
      </c>
      <c r="C56" s="53">
        <v>1.59</v>
      </c>
      <c r="D56" s="53">
        <f t="shared" ref="D56:D68" si="3">C56-1.3</f>
        <v>0.29000000000000004</v>
      </c>
    </row>
    <row r="57" spans="1:4" s="9" customFormat="1" ht="12" customHeight="1" x14ac:dyDescent="0.3">
      <c r="A57" s="112"/>
      <c r="B57" s="29">
        <v>44058</v>
      </c>
      <c r="C57" s="53">
        <v>0.96</v>
      </c>
      <c r="D57" s="53">
        <f t="shared" si="3"/>
        <v>-0.34000000000000008</v>
      </c>
    </row>
    <row r="58" spans="1:4" s="9" customFormat="1" ht="12" customHeight="1" x14ac:dyDescent="0.3">
      <c r="A58" s="112"/>
      <c r="B58" s="29">
        <v>44065</v>
      </c>
      <c r="C58" s="53">
        <v>0.71</v>
      </c>
      <c r="D58" s="53">
        <f t="shared" si="3"/>
        <v>-0.59000000000000008</v>
      </c>
    </row>
    <row r="59" spans="1:4" s="9" customFormat="1" ht="12" customHeight="1" x14ac:dyDescent="0.3">
      <c r="A59" s="113"/>
      <c r="B59" s="29">
        <v>44072</v>
      </c>
      <c r="C59" s="53">
        <v>0</v>
      </c>
      <c r="D59" s="53">
        <f t="shared" si="3"/>
        <v>-1.3</v>
      </c>
    </row>
    <row r="60" spans="1:4" s="9" customFormat="1" ht="12" customHeight="1" x14ac:dyDescent="0.3">
      <c r="A60" s="107" t="s">
        <v>2</v>
      </c>
      <c r="B60" s="29">
        <v>44079</v>
      </c>
      <c r="C60" s="53">
        <v>0.3</v>
      </c>
      <c r="D60" s="53">
        <f t="shared" si="3"/>
        <v>-1</v>
      </c>
    </row>
    <row r="61" spans="1:4" s="9" customFormat="1" ht="12" customHeight="1" x14ac:dyDescent="0.3">
      <c r="A61" s="107"/>
      <c r="B61" s="29">
        <v>44086</v>
      </c>
      <c r="C61" s="53">
        <v>0.28999999999999998</v>
      </c>
      <c r="D61" s="53">
        <f t="shared" si="3"/>
        <v>-1.01</v>
      </c>
    </row>
    <row r="62" spans="1:4" s="9" customFormat="1" ht="12" customHeight="1" x14ac:dyDescent="0.3">
      <c r="A62" s="107"/>
      <c r="B62" s="29">
        <v>44093</v>
      </c>
      <c r="C62" s="53">
        <v>0.45</v>
      </c>
      <c r="D62" s="53">
        <f t="shared" si="3"/>
        <v>-0.85000000000000009</v>
      </c>
    </row>
    <row r="63" spans="1:4" s="9" customFormat="1" ht="12" customHeight="1" x14ac:dyDescent="0.3">
      <c r="A63" s="107"/>
      <c r="B63" s="29">
        <v>44100</v>
      </c>
      <c r="C63" s="53">
        <v>0.56000000000000005</v>
      </c>
      <c r="D63" s="53">
        <f t="shared" si="3"/>
        <v>-0.74</v>
      </c>
    </row>
    <row r="64" spans="1:4" s="9" customFormat="1" ht="12" customHeight="1" x14ac:dyDescent="0.3">
      <c r="A64" s="115" t="s">
        <v>6</v>
      </c>
      <c r="B64" s="29">
        <v>44107</v>
      </c>
      <c r="C64" s="53">
        <v>0.6</v>
      </c>
      <c r="D64" s="53">
        <f t="shared" si="3"/>
        <v>-0.70000000000000007</v>
      </c>
    </row>
    <row r="65" spans="1:4" s="9" customFormat="1" ht="12" customHeight="1" x14ac:dyDescent="0.3">
      <c r="A65" s="116"/>
      <c r="B65" s="29">
        <v>44115</v>
      </c>
      <c r="C65" s="53">
        <v>0.71</v>
      </c>
      <c r="D65" s="53">
        <f t="shared" si="3"/>
        <v>-0.59000000000000008</v>
      </c>
    </row>
    <row r="66" spans="1:4" s="9" customFormat="1" ht="12" customHeight="1" x14ac:dyDescent="0.3">
      <c r="A66" s="116"/>
      <c r="B66" s="29">
        <v>44121</v>
      </c>
      <c r="C66" s="53">
        <v>0.74</v>
      </c>
      <c r="D66" s="53">
        <f t="shared" si="3"/>
        <v>-0.56000000000000005</v>
      </c>
    </row>
    <row r="67" spans="1:4" s="9" customFormat="1" ht="12" customHeight="1" x14ac:dyDescent="0.3">
      <c r="A67" s="116"/>
      <c r="B67" s="29">
        <v>44128</v>
      </c>
      <c r="C67" s="53">
        <v>0.77</v>
      </c>
      <c r="D67" s="53">
        <f t="shared" si="3"/>
        <v>-0.53</v>
      </c>
    </row>
    <row r="68" spans="1:4" s="9" customFormat="1" ht="12" customHeight="1" x14ac:dyDescent="0.3">
      <c r="A68" s="116"/>
      <c r="B68" s="29">
        <v>44135</v>
      </c>
      <c r="C68" s="53">
        <v>0.88</v>
      </c>
      <c r="D68" s="53">
        <f t="shared" si="3"/>
        <v>-0.42000000000000004</v>
      </c>
    </row>
    <row r="69" spans="1:4" s="9" customFormat="1" ht="12" customHeight="1" x14ac:dyDescent="0.3">
      <c r="A69" s="107" t="s">
        <v>7</v>
      </c>
      <c r="B69" s="29">
        <v>44142</v>
      </c>
      <c r="C69" s="53">
        <v>0.99</v>
      </c>
      <c r="D69" s="53">
        <f>C69-1.3</f>
        <v>-0.31000000000000005</v>
      </c>
    </row>
    <row r="70" spans="1:4" s="9" customFormat="1" ht="12" customHeight="1" x14ac:dyDescent="0.3">
      <c r="A70" s="107"/>
      <c r="B70" s="29">
        <v>44156</v>
      </c>
      <c r="C70" s="53">
        <v>1.1299999999999999</v>
      </c>
      <c r="D70" s="53">
        <f t="shared" ref="D70:D97" si="4">C70-1.3</f>
        <v>-0.17000000000000015</v>
      </c>
    </row>
    <row r="71" spans="1:4" s="9" customFormat="1" ht="12" customHeight="1" x14ac:dyDescent="0.3">
      <c r="A71" s="107"/>
      <c r="B71" s="29">
        <v>44163</v>
      </c>
      <c r="C71" s="53">
        <v>1.2</v>
      </c>
      <c r="D71" s="53">
        <f t="shared" si="4"/>
        <v>-0.10000000000000009</v>
      </c>
    </row>
    <row r="72" spans="1:4" s="9" customFormat="1" ht="12" customHeight="1" x14ac:dyDescent="0.3">
      <c r="A72" s="111" t="s">
        <v>19</v>
      </c>
      <c r="B72" s="29">
        <v>44170</v>
      </c>
      <c r="C72" s="53">
        <v>1.27</v>
      </c>
      <c r="D72" s="53">
        <f t="shared" si="4"/>
        <v>-3.0000000000000027E-2</v>
      </c>
    </row>
    <row r="73" spans="1:4" s="9" customFormat="1" ht="12" customHeight="1" x14ac:dyDescent="0.3">
      <c r="A73" s="112"/>
      <c r="B73" s="29">
        <v>44177</v>
      </c>
      <c r="C73" s="53">
        <v>1.34</v>
      </c>
      <c r="D73" s="53">
        <f t="shared" si="4"/>
        <v>4.0000000000000036E-2</v>
      </c>
    </row>
    <row r="74" spans="1:4" s="9" customFormat="1" ht="12" customHeight="1" x14ac:dyDescent="0.3">
      <c r="A74" s="112"/>
      <c r="B74" s="29">
        <v>44184</v>
      </c>
      <c r="C74" s="53">
        <v>1.41</v>
      </c>
      <c r="D74" s="53">
        <f t="shared" si="4"/>
        <v>0.10999999999999988</v>
      </c>
    </row>
    <row r="75" spans="1:4" s="9" customFormat="1" ht="12" customHeight="1" x14ac:dyDescent="0.3">
      <c r="A75" s="113"/>
      <c r="B75" s="29">
        <v>44191</v>
      </c>
      <c r="C75" s="53">
        <v>1.48</v>
      </c>
      <c r="D75" s="53">
        <f t="shared" si="4"/>
        <v>0.17999999999999994</v>
      </c>
    </row>
    <row r="76" spans="1:4" s="9" customFormat="1" ht="12" customHeight="1" x14ac:dyDescent="0.3">
      <c r="A76" s="107" t="s">
        <v>10</v>
      </c>
      <c r="B76" s="29">
        <v>44198</v>
      </c>
      <c r="C76" s="53">
        <v>1.56</v>
      </c>
      <c r="D76" s="53">
        <f t="shared" si="4"/>
        <v>0.26</v>
      </c>
    </row>
    <row r="77" spans="1:4" s="9" customFormat="1" ht="12" customHeight="1" x14ac:dyDescent="0.3">
      <c r="A77" s="107"/>
      <c r="B77" s="29">
        <v>44205</v>
      </c>
      <c r="C77" s="53">
        <v>1.61</v>
      </c>
      <c r="D77" s="53">
        <f t="shared" si="4"/>
        <v>0.31000000000000005</v>
      </c>
    </row>
    <row r="78" spans="1:4" s="9" customFormat="1" ht="12" customHeight="1" x14ac:dyDescent="0.3">
      <c r="A78" s="107"/>
      <c r="B78" s="29">
        <v>44219</v>
      </c>
      <c r="C78" s="53">
        <v>1.64</v>
      </c>
      <c r="D78" s="53">
        <f t="shared" si="4"/>
        <v>0.33999999999999986</v>
      </c>
    </row>
    <row r="79" spans="1:4" s="9" customFormat="1" ht="12" customHeight="1" x14ac:dyDescent="0.3">
      <c r="A79" s="107"/>
      <c r="B79" s="29">
        <v>44226</v>
      </c>
      <c r="C79" s="53">
        <v>1.69</v>
      </c>
      <c r="D79" s="53">
        <f t="shared" si="4"/>
        <v>0.3899999999999999</v>
      </c>
    </row>
    <row r="80" spans="1:4" s="9" customFormat="1" ht="12" customHeight="1" x14ac:dyDescent="0.3">
      <c r="A80" s="107" t="s">
        <v>11</v>
      </c>
      <c r="B80" s="29">
        <v>44233</v>
      </c>
      <c r="C80" s="53">
        <v>1.82</v>
      </c>
      <c r="D80" s="53">
        <f t="shared" si="4"/>
        <v>0.52</v>
      </c>
    </row>
    <row r="81" spans="1:4" s="9" customFormat="1" ht="12" customHeight="1" x14ac:dyDescent="0.3">
      <c r="A81" s="107"/>
      <c r="B81" s="29">
        <v>44240</v>
      </c>
      <c r="C81" s="53">
        <v>1.84</v>
      </c>
      <c r="D81" s="53">
        <f t="shared" si="4"/>
        <v>0.54</v>
      </c>
    </row>
    <row r="82" spans="1:4" s="9" customFormat="1" ht="12" customHeight="1" x14ac:dyDescent="0.3">
      <c r="A82" s="107"/>
      <c r="B82" s="29">
        <v>44247</v>
      </c>
      <c r="C82" s="53">
        <v>1.88</v>
      </c>
      <c r="D82" s="53">
        <f t="shared" si="4"/>
        <v>0.57999999999999985</v>
      </c>
    </row>
    <row r="83" spans="1:4" s="9" customFormat="1" ht="12" customHeight="1" x14ac:dyDescent="0.3">
      <c r="A83" s="107"/>
      <c r="B83" s="29">
        <v>44254</v>
      </c>
      <c r="C83" s="53">
        <v>1.94</v>
      </c>
      <c r="D83" s="53">
        <f t="shared" si="4"/>
        <v>0.6399999999999999</v>
      </c>
    </row>
    <row r="84" spans="1:4" s="9" customFormat="1" ht="12" customHeight="1" x14ac:dyDescent="0.3">
      <c r="A84" s="107" t="s">
        <v>13</v>
      </c>
      <c r="B84" s="24">
        <v>44262</v>
      </c>
      <c r="C84" s="53">
        <v>2</v>
      </c>
      <c r="D84" s="53">
        <f t="shared" si="4"/>
        <v>0.7</v>
      </c>
    </row>
    <row r="85" spans="1:4" s="9" customFormat="1" ht="12" customHeight="1" x14ac:dyDescent="0.3">
      <c r="A85" s="107"/>
      <c r="B85" s="24">
        <v>44269</v>
      </c>
      <c r="C85" s="53">
        <v>2.0299999999999998</v>
      </c>
      <c r="D85" s="53">
        <f t="shared" si="4"/>
        <v>0.72999999999999976</v>
      </c>
    </row>
    <row r="86" spans="1:4" s="9" customFormat="1" ht="12" customHeight="1" x14ac:dyDescent="0.3">
      <c r="A86" s="107"/>
      <c r="B86" s="24">
        <v>44276</v>
      </c>
      <c r="C86" s="53">
        <v>2.1</v>
      </c>
      <c r="D86" s="53">
        <f t="shared" si="4"/>
        <v>0.8</v>
      </c>
    </row>
    <row r="87" spans="1:4" s="9" customFormat="1" ht="12" customHeight="1" x14ac:dyDescent="0.3">
      <c r="A87" s="107"/>
      <c r="B87" s="24">
        <v>44282</v>
      </c>
      <c r="C87" s="53">
        <v>2.16</v>
      </c>
      <c r="D87" s="53">
        <f t="shared" si="4"/>
        <v>0.8600000000000001</v>
      </c>
    </row>
    <row r="88" spans="1:4" s="9" customFormat="1" ht="12" customHeight="1" x14ac:dyDescent="0.3">
      <c r="A88" s="107" t="s">
        <v>23</v>
      </c>
      <c r="B88" s="29">
        <v>44290</v>
      </c>
      <c r="C88" s="53">
        <v>2.2999999999999998</v>
      </c>
      <c r="D88" s="53">
        <f t="shared" si="4"/>
        <v>0.99999999999999978</v>
      </c>
    </row>
    <row r="89" spans="1:4" s="9" customFormat="1" ht="12" customHeight="1" x14ac:dyDescent="0.3">
      <c r="A89" s="107"/>
      <c r="B89" s="29">
        <v>44296</v>
      </c>
      <c r="C89" s="53">
        <v>2.4500000000000002</v>
      </c>
      <c r="D89" s="53">
        <f t="shared" si="4"/>
        <v>1.1500000000000001</v>
      </c>
    </row>
    <row r="90" spans="1:4" s="9" customFormat="1" ht="12" customHeight="1" x14ac:dyDescent="0.3">
      <c r="A90" s="107"/>
      <c r="B90" s="29">
        <v>44304</v>
      </c>
      <c r="C90" s="53">
        <v>2.56</v>
      </c>
      <c r="D90" s="53">
        <f t="shared" si="4"/>
        <v>1.26</v>
      </c>
    </row>
    <row r="91" spans="1:4" s="9" customFormat="1" ht="12" customHeight="1" x14ac:dyDescent="0.3">
      <c r="A91" s="107"/>
      <c r="B91" s="29">
        <v>44311</v>
      </c>
      <c r="C91" s="53">
        <v>2.62</v>
      </c>
      <c r="D91" s="53">
        <f t="shared" si="4"/>
        <v>1.32</v>
      </c>
    </row>
    <row r="92" spans="1:4" s="9" customFormat="1" ht="12" customHeight="1" x14ac:dyDescent="0.3">
      <c r="A92" s="117"/>
      <c r="B92" s="29">
        <v>44325</v>
      </c>
      <c r="C92" s="53">
        <v>2.5</v>
      </c>
      <c r="D92" s="53">
        <f>C92-1.3</f>
        <v>1.2</v>
      </c>
    </row>
    <row r="93" spans="1:4" s="9" customFormat="1" ht="12" customHeight="1" x14ac:dyDescent="0.3">
      <c r="A93" s="117"/>
      <c r="B93" s="29">
        <v>44331</v>
      </c>
      <c r="C93" s="53">
        <v>2.57</v>
      </c>
      <c r="D93" s="53">
        <f t="shared" si="4"/>
        <v>1.2699999999999998</v>
      </c>
    </row>
    <row r="94" spans="1:4" s="9" customFormat="1" ht="12" customHeight="1" x14ac:dyDescent="0.3">
      <c r="A94" s="117"/>
      <c r="B94" s="29">
        <v>44338</v>
      </c>
      <c r="C94" s="53">
        <v>2.73</v>
      </c>
      <c r="D94" s="53">
        <f t="shared" si="4"/>
        <v>1.43</v>
      </c>
    </row>
    <row r="95" spans="1:4" s="9" customFormat="1" ht="12" customHeight="1" x14ac:dyDescent="0.3">
      <c r="A95" s="118"/>
      <c r="B95" s="29">
        <v>44345</v>
      </c>
      <c r="C95" s="53">
        <v>2.5</v>
      </c>
      <c r="D95" s="53">
        <f t="shared" si="4"/>
        <v>1.2</v>
      </c>
    </row>
    <row r="96" spans="1:4" s="9" customFormat="1" ht="12" customHeight="1" x14ac:dyDescent="0.3">
      <c r="A96" s="117"/>
      <c r="B96" s="29">
        <v>44359</v>
      </c>
      <c r="C96" s="53">
        <v>2.37</v>
      </c>
      <c r="D96" s="53">
        <f t="shared" si="4"/>
        <v>1.07</v>
      </c>
    </row>
    <row r="97" spans="1:4" s="9" customFormat="1" ht="12" customHeight="1" x14ac:dyDescent="0.3">
      <c r="A97" s="117"/>
      <c r="B97" s="29">
        <v>44366</v>
      </c>
      <c r="C97" s="53">
        <v>2.31</v>
      </c>
      <c r="D97" s="53">
        <f t="shared" si="4"/>
        <v>1.01</v>
      </c>
    </row>
    <row r="98" spans="1:4" s="9" customFormat="1" ht="12" customHeight="1" x14ac:dyDescent="0.3">
      <c r="A98" s="114" t="s">
        <v>3</v>
      </c>
      <c r="B98" s="24">
        <v>44380</v>
      </c>
      <c r="C98" s="53">
        <v>1.95</v>
      </c>
      <c r="D98" s="53">
        <f t="shared" ref="D98:D103" si="5">C98-1.3</f>
        <v>0.64999999999999991</v>
      </c>
    </row>
    <row r="99" spans="1:4" s="9" customFormat="1" ht="12" customHeight="1" x14ac:dyDescent="0.3">
      <c r="A99" s="114"/>
      <c r="B99" s="24">
        <v>44387</v>
      </c>
      <c r="C99" s="53">
        <v>2.2000000000000002</v>
      </c>
      <c r="D99" s="53">
        <f t="shared" si="5"/>
        <v>0.90000000000000013</v>
      </c>
    </row>
    <row r="100" spans="1:4" s="9" customFormat="1" ht="12" customHeight="1" x14ac:dyDescent="0.3">
      <c r="A100" s="114"/>
      <c r="B100" s="24">
        <v>44395</v>
      </c>
      <c r="C100" s="53">
        <v>1.8</v>
      </c>
      <c r="D100" s="53">
        <f t="shared" si="5"/>
        <v>0.5</v>
      </c>
    </row>
    <row r="101" spans="1:4" s="9" customFormat="1" ht="12" customHeight="1" x14ac:dyDescent="0.3">
      <c r="A101" s="114"/>
      <c r="B101" s="24">
        <v>44408</v>
      </c>
      <c r="C101" s="53">
        <v>0.71</v>
      </c>
      <c r="D101" s="53">
        <f t="shared" si="5"/>
        <v>-0.59000000000000008</v>
      </c>
    </row>
    <row r="102" spans="1:4" s="9" customFormat="1" ht="12" customHeight="1" x14ac:dyDescent="0.3">
      <c r="A102" s="114" t="s">
        <v>18</v>
      </c>
      <c r="B102" s="24">
        <v>44415</v>
      </c>
      <c r="C102" s="53">
        <v>0.6</v>
      </c>
      <c r="D102" s="53">
        <f t="shared" si="5"/>
        <v>-0.70000000000000007</v>
      </c>
    </row>
    <row r="103" spans="1:4" s="9" customFormat="1" ht="12" customHeight="1" x14ac:dyDescent="0.3">
      <c r="A103" s="114"/>
      <c r="B103" s="24">
        <v>44429</v>
      </c>
      <c r="C103" s="53">
        <v>0.5</v>
      </c>
      <c r="D103" s="53">
        <f t="shared" si="5"/>
        <v>-0.8</v>
      </c>
    </row>
    <row r="104" spans="1:4" s="9" customFormat="1" ht="12" customHeight="1" x14ac:dyDescent="0.3">
      <c r="A104" s="114" t="s">
        <v>25</v>
      </c>
      <c r="B104" s="24">
        <v>44443</v>
      </c>
      <c r="C104" s="53">
        <v>0.45</v>
      </c>
      <c r="D104" s="53">
        <f>SUM(C104-1.3)</f>
        <v>-0.85000000000000009</v>
      </c>
    </row>
    <row r="105" spans="1:4" s="9" customFormat="1" ht="12" customHeight="1" x14ac:dyDescent="0.3">
      <c r="A105" s="114"/>
      <c r="B105" s="24">
        <v>44450</v>
      </c>
      <c r="C105" s="53">
        <v>0.61</v>
      </c>
      <c r="D105" s="53">
        <f t="shared" ref="D105:D109" si="6">C105-1.3</f>
        <v>-0.69000000000000006</v>
      </c>
    </row>
    <row r="106" spans="1:4" s="9" customFormat="1" ht="12" customHeight="1" x14ac:dyDescent="0.3">
      <c r="A106" s="114"/>
      <c r="B106" s="24">
        <v>44457</v>
      </c>
      <c r="C106" s="53">
        <v>0.33</v>
      </c>
      <c r="D106" s="53">
        <f t="shared" si="6"/>
        <v>-0.97</v>
      </c>
    </row>
    <row r="107" spans="1:4" s="9" customFormat="1" ht="12" customHeight="1" x14ac:dyDescent="0.3">
      <c r="A107" s="114"/>
      <c r="B107" s="24">
        <v>44464</v>
      </c>
      <c r="C107" s="53">
        <v>0.46</v>
      </c>
      <c r="D107" s="53">
        <f t="shared" si="6"/>
        <v>-0.84000000000000008</v>
      </c>
    </row>
    <row r="108" spans="1:4" s="9" customFormat="1" ht="12" customHeight="1" x14ac:dyDescent="0.3">
      <c r="A108" s="114" t="s">
        <v>6</v>
      </c>
      <c r="B108" s="24">
        <v>44471</v>
      </c>
      <c r="C108" s="53">
        <v>0.55000000000000004</v>
      </c>
      <c r="D108" s="53">
        <f t="shared" si="6"/>
        <v>-0.75</v>
      </c>
    </row>
    <row r="109" spans="1:4" s="9" customFormat="1" ht="12" customHeight="1" x14ac:dyDescent="0.3">
      <c r="A109" s="114"/>
      <c r="B109" s="24">
        <v>44478</v>
      </c>
      <c r="C109" s="53">
        <v>0.59</v>
      </c>
      <c r="D109" s="53">
        <f t="shared" si="6"/>
        <v>-0.71000000000000008</v>
      </c>
    </row>
    <row r="110" spans="1:4" s="9" customFormat="1" ht="12" customHeight="1" x14ac:dyDescent="0.3">
      <c r="A110" s="114"/>
      <c r="B110" s="24">
        <v>44492</v>
      </c>
      <c r="C110" s="53">
        <v>0.8</v>
      </c>
      <c r="D110" s="53">
        <f>C110-1.3</f>
        <v>-0.5</v>
      </c>
    </row>
    <row r="111" spans="1:4" s="9" customFormat="1" ht="12" customHeight="1" x14ac:dyDescent="0.3">
      <c r="A111" s="114"/>
      <c r="B111" s="24">
        <v>44499</v>
      </c>
      <c r="C111" s="53">
        <v>0.85</v>
      </c>
      <c r="D111" s="53">
        <f>C111-1.3</f>
        <v>-0.45000000000000007</v>
      </c>
    </row>
    <row r="112" spans="1:4" s="9" customFormat="1" ht="12" customHeight="1" x14ac:dyDescent="0.3">
      <c r="A112" s="114" t="s">
        <v>7</v>
      </c>
      <c r="B112" s="24">
        <v>44513</v>
      </c>
      <c r="C112" s="53">
        <v>0.98</v>
      </c>
      <c r="D112" s="53">
        <f>C112-1.3</f>
        <v>-0.32000000000000006</v>
      </c>
    </row>
    <row r="113" spans="1:4" s="9" customFormat="1" ht="12" customHeight="1" x14ac:dyDescent="0.3">
      <c r="A113" s="114"/>
      <c r="B113" s="24">
        <v>44527</v>
      </c>
      <c r="C113" s="53">
        <v>1.22</v>
      </c>
      <c r="D113" s="53">
        <f>C113-1.3</f>
        <v>-8.0000000000000071E-2</v>
      </c>
    </row>
    <row r="114" spans="1:4" s="9" customFormat="1" ht="12" customHeight="1" x14ac:dyDescent="0.3">
      <c r="A114" s="114"/>
      <c r="B114" s="24">
        <v>44541</v>
      </c>
      <c r="C114" s="55">
        <v>1.43</v>
      </c>
      <c r="D114" s="55">
        <f t="shared" ref="D114:D117" si="7">C114-1.3</f>
        <v>0.12999999999999989</v>
      </c>
    </row>
    <row r="115" spans="1:4" s="9" customFormat="1" ht="12" customHeight="1" x14ac:dyDescent="0.3">
      <c r="A115" s="114"/>
      <c r="B115" s="24">
        <v>44548</v>
      </c>
      <c r="C115" s="56">
        <v>1.54</v>
      </c>
      <c r="D115" s="55">
        <f t="shared" si="7"/>
        <v>0.24</v>
      </c>
    </row>
    <row r="116" spans="1:4" s="9" customFormat="1" ht="12" customHeight="1" x14ac:dyDescent="0.3">
      <c r="A116" s="114"/>
      <c r="B116" s="24">
        <v>44555</v>
      </c>
      <c r="C116" s="55">
        <v>1.67</v>
      </c>
      <c r="D116" s="55">
        <f t="shared" si="7"/>
        <v>0.36999999999999988</v>
      </c>
    </row>
    <row r="117" spans="1:4" s="9" customFormat="1" ht="12" customHeight="1" x14ac:dyDescent="0.3">
      <c r="A117" s="114" t="s">
        <v>20</v>
      </c>
      <c r="B117" s="24">
        <v>44562</v>
      </c>
      <c r="C117" s="55">
        <v>1.78</v>
      </c>
      <c r="D117" s="55">
        <f t="shared" si="7"/>
        <v>0.48</v>
      </c>
    </row>
    <row r="118" spans="1:4" s="9" customFormat="1" ht="12" customHeight="1" x14ac:dyDescent="0.3">
      <c r="A118" s="114"/>
      <c r="B118" s="24">
        <v>44576</v>
      </c>
      <c r="C118" s="56">
        <v>1.93</v>
      </c>
      <c r="D118" s="55">
        <f>C118-1.3</f>
        <v>0.62999999999999989</v>
      </c>
    </row>
    <row r="119" spans="1:4" s="9" customFormat="1" ht="12" customHeight="1" x14ac:dyDescent="0.3">
      <c r="A119" s="114"/>
      <c r="B119" s="24">
        <v>44584</v>
      </c>
      <c r="C119" s="55">
        <v>2.02</v>
      </c>
      <c r="D119" s="55">
        <f>C119-1.3</f>
        <v>0.72</v>
      </c>
    </row>
    <row r="120" spans="1:4" s="9" customFormat="1" ht="12" customHeight="1" x14ac:dyDescent="0.3">
      <c r="A120" s="114"/>
      <c r="B120" s="24">
        <v>44590</v>
      </c>
      <c r="C120" s="53">
        <v>2.09</v>
      </c>
      <c r="D120" s="55">
        <f>C120-1.3</f>
        <v>0.78999999999999981</v>
      </c>
    </row>
    <row r="121" spans="1:4" s="9" customFormat="1" ht="12" customHeight="1" x14ac:dyDescent="0.3">
      <c r="A121" s="114" t="s">
        <v>29</v>
      </c>
      <c r="B121" s="24">
        <v>44597</v>
      </c>
      <c r="C121" s="55">
        <v>2.15</v>
      </c>
      <c r="D121" s="55">
        <f>C121-1.3</f>
        <v>0.84999999999999987</v>
      </c>
    </row>
    <row r="122" spans="1:4" s="9" customFormat="1" ht="12" customHeight="1" x14ac:dyDescent="0.3">
      <c r="A122" s="114"/>
      <c r="B122" s="24">
        <v>44604</v>
      </c>
      <c r="C122" s="57">
        <v>2.21</v>
      </c>
      <c r="D122" s="55">
        <f t="shared" ref="D122:D124" si="8">C122-1.3</f>
        <v>0.90999999999999992</v>
      </c>
    </row>
    <row r="123" spans="1:4" s="9" customFormat="1" ht="12" customHeight="1" x14ac:dyDescent="0.3">
      <c r="A123" s="114"/>
      <c r="B123" s="24">
        <v>44612</v>
      </c>
      <c r="C123" s="56">
        <v>2.29</v>
      </c>
      <c r="D123" s="55">
        <f t="shared" si="8"/>
        <v>0.99</v>
      </c>
    </row>
    <row r="124" spans="1:4" s="9" customFormat="1" ht="12" customHeight="1" x14ac:dyDescent="0.3">
      <c r="A124" s="114"/>
      <c r="B124" s="24">
        <v>44618</v>
      </c>
      <c r="C124" s="55">
        <v>2.31</v>
      </c>
      <c r="D124" s="55">
        <f t="shared" si="8"/>
        <v>1.01</v>
      </c>
    </row>
    <row r="125" spans="1:4" s="9" customFormat="1" ht="12" customHeight="1" x14ac:dyDescent="0.3">
      <c r="A125" s="114" t="s">
        <v>13</v>
      </c>
      <c r="B125" s="24">
        <v>44626</v>
      </c>
      <c r="C125" s="55">
        <v>2.35</v>
      </c>
      <c r="D125" s="55">
        <f>C125-1.3</f>
        <v>1.05</v>
      </c>
    </row>
    <row r="126" spans="1:4" s="9" customFormat="1" ht="12" customHeight="1" x14ac:dyDescent="0.3">
      <c r="A126" s="114"/>
      <c r="B126" s="24">
        <v>44633</v>
      </c>
      <c r="C126" s="57">
        <v>2.4700000000000002</v>
      </c>
      <c r="D126" s="55">
        <f t="shared" ref="D126:D132" si="9">C126-1.3</f>
        <v>1.1700000000000002</v>
      </c>
    </row>
    <row r="127" spans="1:4" s="9" customFormat="1" ht="12" customHeight="1" x14ac:dyDescent="0.3">
      <c r="A127" s="114"/>
      <c r="B127" s="24">
        <v>44640</v>
      </c>
      <c r="C127" s="56">
        <v>2.58</v>
      </c>
      <c r="D127" s="55">
        <f t="shared" si="9"/>
        <v>1.28</v>
      </c>
    </row>
    <row r="128" spans="1:4" s="9" customFormat="1" ht="12" customHeight="1" x14ac:dyDescent="0.3">
      <c r="A128" s="114"/>
      <c r="B128" s="24">
        <v>44646</v>
      </c>
      <c r="C128" s="55">
        <v>2.63</v>
      </c>
      <c r="D128" s="55">
        <f t="shared" si="9"/>
        <v>1.3299999999999998</v>
      </c>
    </row>
    <row r="129" spans="1:4" s="9" customFormat="1" ht="12" customHeight="1" x14ac:dyDescent="0.3">
      <c r="A129" s="114" t="s">
        <v>23</v>
      </c>
      <c r="B129" s="24">
        <v>44653</v>
      </c>
      <c r="C129" s="55">
        <v>2.69</v>
      </c>
      <c r="D129" s="55">
        <f t="shared" si="9"/>
        <v>1.39</v>
      </c>
    </row>
    <row r="130" spans="1:4" s="9" customFormat="1" ht="12" customHeight="1" x14ac:dyDescent="0.3">
      <c r="A130" s="114"/>
      <c r="B130" s="24">
        <v>44667</v>
      </c>
      <c r="C130" s="56">
        <v>2.87</v>
      </c>
      <c r="D130" s="55">
        <f t="shared" si="9"/>
        <v>1.57</v>
      </c>
    </row>
    <row r="131" spans="1:4" s="9" customFormat="1" ht="12" customHeight="1" x14ac:dyDescent="0.3">
      <c r="A131" s="114"/>
      <c r="B131" s="24">
        <v>44674</v>
      </c>
      <c r="C131" s="55">
        <v>3.01</v>
      </c>
      <c r="D131" s="55">
        <f t="shared" ref="D131" si="10">C131-1.3</f>
        <v>1.7099999999999997</v>
      </c>
    </row>
    <row r="132" spans="1:4" s="9" customFormat="1" ht="12" customHeight="1" x14ac:dyDescent="0.3">
      <c r="A132" s="114"/>
      <c r="B132" s="24">
        <v>44681</v>
      </c>
      <c r="C132" s="55">
        <v>2.73</v>
      </c>
      <c r="D132" s="55">
        <f t="shared" si="9"/>
        <v>1.43</v>
      </c>
    </row>
    <row r="133" spans="1:4" s="9" customFormat="1" ht="12" customHeight="1" x14ac:dyDescent="0.3">
      <c r="A133" s="114" t="s">
        <v>15</v>
      </c>
      <c r="B133" s="24">
        <v>44687</v>
      </c>
      <c r="C133" s="55">
        <v>2.7</v>
      </c>
      <c r="D133" s="55">
        <f t="shared" ref="D133:D136" si="11">C133-1.3</f>
        <v>1.4000000000000001</v>
      </c>
    </row>
    <row r="134" spans="1:4" s="9" customFormat="1" ht="12" customHeight="1" x14ac:dyDescent="0.3">
      <c r="A134" s="114"/>
      <c r="B134" s="24">
        <v>44696</v>
      </c>
      <c r="C134" s="56">
        <v>2.57</v>
      </c>
      <c r="D134" s="55">
        <f t="shared" si="11"/>
        <v>1.2699999999999998</v>
      </c>
    </row>
    <row r="135" spans="1:4" s="9" customFormat="1" ht="12" customHeight="1" x14ac:dyDescent="0.3">
      <c r="A135" s="114"/>
      <c r="B135" s="29">
        <v>44703</v>
      </c>
      <c r="C135" s="56">
        <v>2.46</v>
      </c>
      <c r="D135" s="55">
        <f t="shared" si="11"/>
        <v>1.1599999999999999</v>
      </c>
    </row>
    <row r="136" spans="1:4" s="9" customFormat="1" ht="12" customHeight="1" x14ac:dyDescent="0.3">
      <c r="A136" s="114"/>
      <c r="B136" s="24">
        <v>44708</v>
      </c>
      <c r="C136" s="55">
        <v>2.4700000000000002</v>
      </c>
      <c r="D136" s="55">
        <f t="shared" si="11"/>
        <v>1.1700000000000002</v>
      </c>
    </row>
    <row r="137" spans="1:4" s="9" customFormat="1" ht="12" customHeight="1" x14ac:dyDescent="0.3">
      <c r="A137" s="107"/>
      <c r="B137" s="29">
        <v>44722</v>
      </c>
      <c r="C137" s="53">
        <v>2.42</v>
      </c>
      <c r="D137" s="27">
        <f t="shared" ref="D137:D144" si="12">C137-1.3</f>
        <v>1.1199999999999999</v>
      </c>
    </row>
    <row r="138" spans="1:4" s="9" customFormat="1" ht="12" customHeight="1" x14ac:dyDescent="0.3">
      <c r="A138" s="107"/>
      <c r="B138" s="29">
        <v>44729</v>
      </c>
      <c r="C138" s="58">
        <v>2.12</v>
      </c>
      <c r="D138" s="27">
        <f t="shared" si="12"/>
        <v>0.82000000000000006</v>
      </c>
    </row>
    <row r="139" spans="1:4" s="9" customFormat="1" ht="12" customHeight="1" x14ac:dyDescent="0.3">
      <c r="A139" s="107"/>
      <c r="B139" s="29">
        <v>44736</v>
      </c>
      <c r="C139" s="53">
        <v>1.79</v>
      </c>
      <c r="D139" s="27">
        <f t="shared" si="12"/>
        <v>0.49</v>
      </c>
    </row>
    <row r="140" spans="1:4" s="9" customFormat="1" ht="12" customHeight="1" x14ac:dyDescent="0.3">
      <c r="A140" s="107" t="s">
        <v>3</v>
      </c>
      <c r="B140" s="29">
        <v>44743</v>
      </c>
      <c r="C140" s="59">
        <v>1.6</v>
      </c>
      <c r="D140" s="27">
        <f t="shared" si="12"/>
        <v>0.30000000000000004</v>
      </c>
    </row>
    <row r="141" spans="1:4" s="9" customFormat="1" ht="12" customHeight="1" x14ac:dyDescent="0.3">
      <c r="A141" s="107"/>
      <c r="B141" s="29">
        <v>44751</v>
      </c>
      <c r="C141" s="53">
        <v>1.03</v>
      </c>
      <c r="D141" s="27">
        <f t="shared" si="12"/>
        <v>-0.27</v>
      </c>
    </row>
    <row r="142" spans="1:4" s="9" customFormat="1" ht="12" customHeight="1" x14ac:dyDescent="0.3">
      <c r="A142" s="107"/>
      <c r="B142" s="29">
        <v>44758</v>
      </c>
      <c r="C142" s="58">
        <v>1.02</v>
      </c>
      <c r="D142" s="27">
        <f t="shared" si="12"/>
        <v>-0.28000000000000003</v>
      </c>
    </row>
    <row r="143" spans="1:4" s="9" customFormat="1" ht="12" customHeight="1" x14ac:dyDescent="0.3">
      <c r="A143" s="107"/>
      <c r="B143" s="29">
        <v>44764</v>
      </c>
      <c r="C143" s="53">
        <v>0.97</v>
      </c>
      <c r="D143" s="27">
        <f t="shared" ref="D143" si="13">C143-1.3</f>
        <v>-0.33000000000000007</v>
      </c>
    </row>
    <row r="144" spans="1:4" s="9" customFormat="1" ht="12" customHeight="1" x14ac:dyDescent="0.3">
      <c r="A144" s="107"/>
      <c r="B144" s="29">
        <v>44771</v>
      </c>
      <c r="C144" s="53">
        <v>0.89</v>
      </c>
      <c r="D144" s="27">
        <f t="shared" si="12"/>
        <v>-0.41000000000000003</v>
      </c>
    </row>
    <row r="145" spans="1:4" s="9" customFormat="1" ht="12" customHeight="1" x14ac:dyDescent="0.3">
      <c r="A145" s="107" t="s">
        <v>18</v>
      </c>
      <c r="B145" s="29">
        <v>44780</v>
      </c>
      <c r="C145" s="59">
        <v>0.74</v>
      </c>
      <c r="D145" s="27">
        <f t="shared" ref="D145:D148" si="14">C145-1.3</f>
        <v>-0.56000000000000005</v>
      </c>
    </row>
    <row r="146" spans="1:4" s="9" customFormat="1" ht="12" customHeight="1" x14ac:dyDescent="0.3">
      <c r="A146" s="107"/>
      <c r="B146" s="29">
        <v>44786</v>
      </c>
      <c r="C146" s="53">
        <v>0.59</v>
      </c>
      <c r="D146" s="27">
        <f t="shared" si="14"/>
        <v>-0.71000000000000008</v>
      </c>
    </row>
    <row r="147" spans="1:4" s="9" customFormat="1" ht="12" customHeight="1" x14ac:dyDescent="0.3">
      <c r="A147" s="107"/>
      <c r="B147" s="29">
        <v>44795</v>
      </c>
      <c r="C147" s="58">
        <v>0.31</v>
      </c>
      <c r="D147" s="27">
        <f t="shared" si="14"/>
        <v>-0.99</v>
      </c>
    </row>
    <row r="148" spans="1:4" s="9" customFormat="1" ht="12" customHeight="1" x14ac:dyDescent="0.3">
      <c r="A148" s="107"/>
      <c r="B148" s="29">
        <v>44798</v>
      </c>
      <c r="C148" s="58">
        <v>0.31</v>
      </c>
      <c r="D148" s="27">
        <f t="shared" si="14"/>
        <v>-0.99</v>
      </c>
    </row>
    <row r="149" spans="1:4" s="9" customFormat="1" ht="12" customHeight="1" x14ac:dyDescent="0.3">
      <c r="A149" s="107" t="s">
        <v>25</v>
      </c>
      <c r="B149" s="29">
        <v>44806</v>
      </c>
      <c r="C149" s="59">
        <v>0.31</v>
      </c>
      <c r="D149" s="27">
        <f t="shared" ref="D149:D159" si="15">C149-1.3</f>
        <v>-0.99</v>
      </c>
    </row>
    <row r="150" spans="1:4" s="9" customFormat="1" ht="12" customHeight="1" x14ac:dyDescent="0.3">
      <c r="A150" s="107"/>
      <c r="B150" s="29">
        <v>44814</v>
      </c>
      <c r="C150" s="53">
        <v>0.67</v>
      </c>
      <c r="D150" s="27">
        <f t="shared" si="15"/>
        <v>-0.63</v>
      </c>
    </row>
    <row r="151" spans="1:4" s="9" customFormat="1" ht="12" customHeight="1" x14ac:dyDescent="0.3">
      <c r="A151" s="107"/>
      <c r="B151" s="29">
        <v>44822</v>
      </c>
      <c r="C151" s="58">
        <v>0.67</v>
      </c>
      <c r="D151" s="27">
        <f t="shared" si="15"/>
        <v>-0.63</v>
      </c>
    </row>
    <row r="152" spans="1:4" s="9" customFormat="1" ht="12" customHeight="1" x14ac:dyDescent="0.3">
      <c r="A152" s="107" t="s">
        <v>26</v>
      </c>
      <c r="B152" s="29">
        <v>44841</v>
      </c>
      <c r="C152" s="59">
        <v>0.71</v>
      </c>
      <c r="D152" s="27">
        <f t="shared" si="15"/>
        <v>-0.59000000000000008</v>
      </c>
    </row>
    <row r="153" spans="1:4" s="9" customFormat="1" ht="12" customHeight="1" x14ac:dyDescent="0.3">
      <c r="A153" s="107"/>
      <c r="B153" s="29">
        <v>44848</v>
      </c>
      <c r="C153" s="53">
        <v>0.81</v>
      </c>
      <c r="D153" s="27">
        <f t="shared" si="15"/>
        <v>-0.49</v>
      </c>
    </row>
    <row r="154" spans="1:4" s="9" customFormat="1" ht="12" customHeight="1" x14ac:dyDescent="0.3">
      <c r="A154" s="107"/>
      <c r="B154" s="29">
        <v>44855</v>
      </c>
      <c r="C154" s="58">
        <v>0.89</v>
      </c>
      <c r="D154" s="27">
        <f t="shared" si="15"/>
        <v>-0.41000000000000003</v>
      </c>
    </row>
    <row r="155" spans="1:4" s="9" customFormat="1" ht="12" customHeight="1" x14ac:dyDescent="0.3">
      <c r="A155" s="107"/>
      <c r="B155" s="29">
        <v>44862</v>
      </c>
      <c r="C155" s="53">
        <v>1</v>
      </c>
      <c r="D155" s="27">
        <f>C155-1.3</f>
        <v>-0.30000000000000004</v>
      </c>
    </row>
    <row r="156" spans="1:4" s="9" customFormat="1" ht="12" customHeight="1" x14ac:dyDescent="0.3">
      <c r="A156" s="112" t="s">
        <v>27</v>
      </c>
      <c r="B156" s="29">
        <v>44871</v>
      </c>
      <c r="C156" s="58">
        <v>1.1200000000000001</v>
      </c>
      <c r="D156" s="27">
        <f t="shared" si="15"/>
        <v>-0.17999999999999994</v>
      </c>
    </row>
    <row r="157" spans="1:4" s="9" customFormat="1" ht="12" customHeight="1" x14ac:dyDescent="0.3">
      <c r="A157" s="112"/>
      <c r="B157" s="29">
        <v>44876</v>
      </c>
      <c r="C157" s="58">
        <v>1.18</v>
      </c>
      <c r="D157" s="27">
        <f t="shared" si="15"/>
        <v>-0.12000000000000011</v>
      </c>
    </row>
    <row r="158" spans="1:4" s="9" customFormat="1" ht="12" customHeight="1" x14ac:dyDescent="0.3">
      <c r="A158" s="112"/>
      <c r="B158" s="29">
        <v>44883</v>
      </c>
      <c r="C158" s="60">
        <v>1.22</v>
      </c>
      <c r="D158" s="27">
        <f t="shared" si="15"/>
        <v>-8.0000000000000071E-2</v>
      </c>
    </row>
    <row r="159" spans="1:4" s="9" customFormat="1" ht="12" customHeight="1" x14ac:dyDescent="0.3">
      <c r="A159" s="113"/>
      <c r="B159" s="29">
        <v>44890</v>
      </c>
      <c r="C159" s="17">
        <v>1.28</v>
      </c>
      <c r="D159" s="27">
        <f t="shared" si="15"/>
        <v>-2.0000000000000018E-2</v>
      </c>
    </row>
    <row r="160" spans="1:4" s="9" customFormat="1" ht="12" customHeight="1" x14ac:dyDescent="0.3">
      <c r="A160" s="112" t="s">
        <v>28</v>
      </c>
      <c r="B160" s="29">
        <v>44899</v>
      </c>
      <c r="C160" s="58">
        <v>1.29</v>
      </c>
      <c r="D160" s="27">
        <f>C160-1.19</f>
        <v>0.10000000000000009</v>
      </c>
    </row>
    <row r="161" spans="1:4" s="9" customFormat="1" ht="12" customHeight="1" x14ac:dyDescent="0.3">
      <c r="A161" s="112"/>
      <c r="B161" s="29">
        <v>44912</v>
      </c>
      <c r="C161" s="60">
        <v>1.43</v>
      </c>
      <c r="D161" s="27">
        <f>C161-1.19</f>
        <v>0.24</v>
      </c>
    </row>
    <row r="162" spans="1:4" s="9" customFormat="1" ht="12" customHeight="1" thickBot="1" x14ac:dyDescent="0.35">
      <c r="A162" s="112"/>
      <c r="B162" s="34">
        <v>44925</v>
      </c>
      <c r="C162" s="61">
        <v>1.52</v>
      </c>
      <c r="D162" s="35">
        <f>C162-1.19</f>
        <v>0.33000000000000007</v>
      </c>
    </row>
    <row r="163" spans="1:4" s="9" customFormat="1" ht="12" customHeight="1" thickBot="1" x14ac:dyDescent="0.35">
      <c r="A163" s="98" t="s">
        <v>20</v>
      </c>
      <c r="B163" s="36">
        <v>44932</v>
      </c>
      <c r="C163" s="42">
        <v>1.61</v>
      </c>
      <c r="D163" s="38">
        <f t="shared" ref="D163:D164" si="16">C163-1.19</f>
        <v>0.42000000000000015</v>
      </c>
    </row>
    <row r="164" spans="1:4" s="9" customFormat="1" ht="12" customHeight="1" thickBot="1" x14ac:dyDescent="0.35">
      <c r="A164" s="98" t="s">
        <v>29</v>
      </c>
      <c r="B164" s="36">
        <v>44960</v>
      </c>
      <c r="C164" s="42">
        <v>2.08</v>
      </c>
      <c r="D164" s="38">
        <f t="shared" si="16"/>
        <v>0.89000000000000012</v>
      </c>
    </row>
    <row r="165" spans="1:4" s="9" customFormat="1" ht="12" customHeight="1" x14ac:dyDescent="0.3">
      <c r="A165" s="123" t="s">
        <v>13</v>
      </c>
      <c r="B165" s="36">
        <v>44989</v>
      </c>
      <c r="C165" s="42">
        <v>2.38</v>
      </c>
      <c r="D165" s="38">
        <f>C165-1.19</f>
        <v>1.19</v>
      </c>
    </row>
    <row r="166" spans="1:4" s="9" customFormat="1" ht="12" customHeight="1" x14ac:dyDescent="0.3">
      <c r="A166" s="124"/>
      <c r="B166" s="29">
        <v>45009</v>
      </c>
      <c r="C166" s="17">
        <v>2.4700000000000002</v>
      </c>
      <c r="D166" s="27">
        <f t="shared" ref="D166:D167" si="17">C166-1.19</f>
        <v>1.2800000000000002</v>
      </c>
    </row>
    <row r="167" spans="1:4" s="9" customFormat="1" ht="12" customHeight="1" thickBot="1" x14ac:dyDescent="0.35">
      <c r="A167" s="125"/>
      <c r="B167" s="39">
        <v>45016</v>
      </c>
      <c r="C167" s="62">
        <v>2.5299999999999998</v>
      </c>
      <c r="D167" s="41">
        <f t="shared" si="17"/>
        <v>1.3399999999999999</v>
      </c>
    </row>
    <row r="168" spans="1:4" s="9" customFormat="1" ht="12" customHeight="1" thickBot="1" x14ac:dyDescent="0.35">
      <c r="A168" s="99"/>
      <c r="B168" s="34">
        <v>45045</v>
      </c>
      <c r="C168" s="61">
        <v>2.5499999999999998</v>
      </c>
      <c r="D168" s="35">
        <f t="shared" ref="D168" si="18">C168-1.19</f>
        <v>1.3599999999999999</v>
      </c>
    </row>
    <row r="169" spans="1:4" s="9" customFormat="1" ht="12" customHeight="1" x14ac:dyDescent="0.3">
      <c r="A169" s="104" t="s">
        <v>24</v>
      </c>
      <c r="B169" s="44">
        <v>45051</v>
      </c>
      <c r="C169" s="43">
        <v>2.54</v>
      </c>
      <c r="D169" s="38">
        <f t="shared" ref="D169:D170" si="19">C169-1.19</f>
        <v>1.35</v>
      </c>
    </row>
    <row r="170" spans="1:4" s="9" customFormat="1" ht="12" customHeight="1" x14ac:dyDescent="0.3">
      <c r="A170" s="106"/>
      <c r="B170" s="29">
        <v>45060</v>
      </c>
      <c r="C170" s="31">
        <v>2.68</v>
      </c>
      <c r="D170" s="27">
        <f t="shared" si="19"/>
        <v>1.4900000000000002</v>
      </c>
    </row>
    <row r="171" spans="1:4" s="9" customFormat="1" ht="12" customHeight="1" x14ac:dyDescent="0.3">
      <c r="A171" s="122"/>
      <c r="B171" s="32">
        <v>45102</v>
      </c>
      <c r="C171" s="31">
        <v>2.2599999999999998</v>
      </c>
      <c r="D171" s="27">
        <f t="shared" ref="D171:D174" si="20">C171-1.19</f>
        <v>1.0699999999999998</v>
      </c>
    </row>
    <row r="172" spans="1:4" s="9" customFormat="1" ht="12" customHeight="1" x14ac:dyDescent="0.3">
      <c r="A172" s="122"/>
      <c r="B172" s="63">
        <v>45107</v>
      </c>
      <c r="C172" s="61">
        <v>2.14</v>
      </c>
      <c r="D172" s="51">
        <f t="shared" si="20"/>
        <v>0.95000000000000018</v>
      </c>
    </row>
    <row r="173" spans="1:4" s="9" customFormat="1" ht="12" customHeight="1" x14ac:dyDescent="0.3">
      <c r="A173" s="106"/>
      <c r="B173" s="32">
        <v>45128</v>
      </c>
      <c r="C173" s="53">
        <v>1.81</v>
      </c>
      <c r="D173" s="27">
        <f t="shared" si="20"/>
        <v>0.62000000000000011</v>
      </c>
    </row>
    <row r="174" spans="1:4" s="9" customFormat="1" ht="12" customHeight="1" thickBot="1" x14ac:dyDescent="0.35">
      <c r="A174" s="105"/>
      <c r="B174" s="47">
        <v>45135</v>
      </c>
      <c r="C174" s="62">
        <v>1.74</v>
      </c>
      <c r="D174" s="41">
        <f t="shared" si="20"/>
        <v>0.55000000000000004</v>
      </c>
    </row>
    <row r="175" spans="1:4" s="9" customFormat="1" ht="12" customHeight="1" x14ac:dyDescent="0.3">
      <c r="A175" s="104" t="s">
        <v>18</v>
      </c>
      <c r="B175" s="50">
        <v>45143</v>
      </c>
      <c r="C175" s="64">
        <v>1.59</v>
      </c>
      <c r="D175" s="27">
        <f t="shared" ref="D175:D176" si="21">C175-1.19</f>
        <v>0.40000000000000013</v>
      </c>
    </row>
    <row r="176" spans="1:4" s="9" customFormat="1" ht="12" customHeight="1" thickBot="1" x14ac:dyDescent="0.35">
      <c r="A176" s="105"/>
      <c r="B176" s="52">
        <v>45163</v>
      </c>
      <c r="C176" s="65">
        <v>0.95</v>
      </c>
      <c r="D176" s="41">
        <f t="shared" si="21"/>
        <v>-0.24</v>
      </c>
    </row>
  </sheetData>
  <mergeCells count="48">
    <mergeCell ref="A1:B1"/>
    <mergeCell ref="C1:D1"/>
    <mergeCell ref="A171:A172"/>
    <mergeCell ref="A169:A170"/>
    <mergeCell ref="A165:A167"/>
    <mergeCell ref="A145:A148"/>
    <mergeCell ref="A140:A144"/>
    <mergeCell ref="A137:A139"/>
    <mergeCell ref="A129:A132"/>
    <mergeCell ref="A160:A162"/>
    <mergeCell ref="A156:A159"/>
    <mergeCell ref="A152:A155"/>
    <mergeCell ref="A149:A151"/>
    <mergeCell ref="A133:A136"/>
    <mergeCell ref="A69:A71"/>
    <mergeCell ref="A60:A63"/>
    <mergeCell ref="A121:A124"/>
    <mergeCell ref="A117:A120"/>
    <mergeCell ref="A114:A116"/>
    <mergeCell ref="A108:A111"/>
    <mergeCell ref="A104:A107"/>
    <mergeCell ref="A112:A113"/>
    <mergeCell ref="A102:A103"/>
    <mergeCell ref="A98:A101"/>
    <mergeCell ref="A96:A97"/>
    <mergeCell ref="A92:A95"/>
    <mergeCell ref="A88:A91"/>
    <mergeCell ref="A64:A68"/>
    <mergeCell ref="A56:A59"/>
    <mergeCell ref="A52:A55"/>
    <mergeCell ref="A48:A51"/>
    <mergeCell ref="A84:A87"/>
    <mergeCell ref="A175:A176"/>
    <mergeCell ref="A173:A174"/>
    <mergeCell ref="A4:A7"/>
    <mergeCell ref="A8:A12"/>
    <mergeCell ref="A13:A16"/>
    <mergeCell ref="A17:A21"/>
    <mergeCell ref="A22:A25"/>
    <mergeCell ref="A39:A42"/>
    <mergeCell ref="A35:A38"/>
    <mergeCell ref="A30:A34"/>
    <mergeCell ref="A125:A128"/>
    <mergeCell ref="A80:A83"/>
    <mergeCell ref="A76:A79"/>
    <mergeCell ref="A26:A29"/>
    <mergeCell ref="A72:A75"/>
    <mergeCell ref="A43:A47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workbookViewId="0">
      <pane xSplit="4" ySplit="2" topLeftCell="E121" activePane="bottomRight" state="frozenSplit"/>
      <selection pane="topRight" activeCell="I1" sqref="I1"/>
      <selection pane="bottomLeft" activeCell="A20" sqref="A20"/>
      <selection pane="bottomRight" activeCell="E139" sqref="E139"/>
    </sheetView>
  </sheetViews>
  <sheetFormatPr baseColWidth="10" defaultColWidth="9.1796875" defaultRowHeight="12" x14ac:dyDescent="0.3"/>
  <cols>
    <col min="1" max="1" width="14.7265625" style="2" customWidth="1"/>
    <col min="2" max="2" width="13.26953125" style="1" customWidth="1"/>
    <col min="3" max="3" width="22.7265625" style="3" customWidth="1"/>
    <col min="4" max="4" width="24.7265625" style="3" customWidth="1"/>
    <col min="5" max="5" width="41.54296875" style="2" customWidth="1"/>
    <col min="6" max="16384" width="9.1796875" style="2"/>
  </cols>
  <sheetData>
    <row r="1" spans="1:5" ht="15" customHeight="1" x14ac:dyDescent="0.3">
      <c r="A1" s="119" t="s">
        <v>46</v>
      </c>
      <c r="B1" s="119"/>
      <c r="C1" s="129" t="s">
        <v>49</v>
      </c>
      <c r="D1" s="130"/>
      <c r="E1" s="4" t="s">
        <v>9</v>
      </c>
    </row>
    <row r="2" spans="1:5" ht="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  <c r="E2" s="14" t="s">
        <v>37</v>
      </c>
    </row>
    <row r="3" spans="1:5" s="9" customFormat="1" ht="12" customHeight="1" x14ac:dyDescent="0.3">
      <c r="A3" s="111" t="s">
        <v>3</v>
      </c>
      <c r="B3" s="16">
        <v>43667</v>
      </c>
      <c r="C3" s="17">
        <v>3.2</v>
      </c>
      <c r="D3" s="17">
        <f>C3-1.3</f>
        <v>1.9000000000000001</v>
      </c>
    </row>
    <row r="4" spans="1:5" s="9" customFormat="1" ht="12" customHeight="1" x14ac:dyDescent="0.3">
      <c r="A4" s="113"/>
      <c r="B4" s="16">
        <v>43673</v>
      </c>
      <c r="C4" s="17">
        <v>2.65</v>
      </c>
      <c r="D4" s="17">
        <f t="shared" ref="D4:D26" si="0">C4-1.3</f>
        <v>1.3499999999999999</v>
      </c>
    </row>
    <row r="5" spans="1:5" s="9" customFormat="1" ht="12" customHeight="1" x14ac:dyDescent="0.3">
      <c r="A5" s="107" t="s">
        <v>1</v>
      </c>
      <c r="B5" s="20">
        <v>43681</v>
      </c>
      <c r="C5" s="17">
        <v>2.48</v>
      </c>
      <c r="D5" s="17">
        <f t="shared" si="0"/>
        <v>1.18</v>
      </c>
    </row>
    <row r="6" spans="1:5" s="9" customFormat="1" ht="12" customHeight="1" x14ac:dyDescent="0.3">
      <c r="A6" s="107"/>
      <c r="B6" s="20">
        <v>43688</v>
      </c>
      <c r="C6" s="17">
        <v>2.31</v>
      </c>
      <c r="D6" s="17">
        <f t="shared" si="0"/>
        <v>1.01</v>
      </c>
    </row>
    <row r="7" spans="1:5" s="9" customFormat="1" ht="12" customHeight="1" x14ac:dyDescent="0.3">
      <c r="A7" s="107"/>
      <c r="B7" s="20">
        <v>43695</v>
      </c>
      <c r="C7" s="17">
        <v>3.8</v>
      </c>
      <c r="D7" s="17">
        <f t="shared" si="0"/>
        <v>2.5</v>
      </c>
    </row>
    <row r="8" spans="1:5" s="9" customFormat="1" ht="12" customHeight="1" x14ac:dyDescent="0.3">
      <c r="A8" s="107"/>
      <c r="B8" s="20">
        <v>43702</v>
      </c>
      <c r="C8" s="17">
        <v>2.98</v>
      </c>
      <c r="D8" s="17">
        <f t="shared" si="0"/>
        <v>1.68</v>
      </c>
    </row>
    <row r="9" spans="1:5" s="9" customFormat="1" ht="12" customHeight="1" x14ac:dyDescent="0.3">
      <c r="A9" s="107" t="s">
        <v>2</v>
      </c>
      <c r="B9" s="20">
        <v>43709</v>
      </c>
      <c r="C9" s="17">
        <v>2.0699999999999998</v>
      </c>
      <c r="D9" s="17">
        <f t="shared" si="0"/>
        <v>0.7699999999999998</v>
      </c>
    </row>
    <row r="10" spans="1:5" s="9" customFormat="1" ht="12" customHeight="1" x14ac:dyDescent="0.3">
      <c r="A10" s="107"/>
      <c r="B10" s="20">
        <v>43716</v>
      </c>
      <c r="C10" s="17">
        <v>1.33</v>
      </c>
      <c r="D10" s="17">
        <f t="shared" si="0"/>
        <v>3.0000000000000027E-2</v>
      </c>
    </row>
    <row r="11" spans="1:5" s="9" customFormat="1" ht="12" customHeight="1" x14ac:dyDescent="0.3">
      <c r="A11" s="107"/>
      <c r="B11" s="20">
        <v>43722</v>
      </c>
      <c r="C11" s="17">
        <v>1.9</v>
      </c>
      <c r="D11" s="17">
        <f t="shared" si="0"/>
        <v>0.59999999999999987</v>
      </c>
    </row>
    <row r="12" spans="1:5" s="9" customFormat="1" ht="12" customHeight="1" x14ac:dyDescent="0.3">
      <c r="A12" s="107"/>
      <c r="B12" s="20">
        <v>43730</v>
      </c>
      <c r="C12" s="17">
        <v>1.98</v>
      </c>
      <c r="D12" s="17">
        <f t="shared" si="0"/>
        <v>0.67999999999999994</v>
      </c>
    </row>
    <row r="13" spans="1:5" s="9" customFormat="1" ht="12" customHeight="1" x14ac:dyDescent="0.3">
      <c r="A13" s="107"/>
      <c r="B13" s="20">
        <v>43737</v>
      </c>
      <c r="C13" s="17">
        <v>1.46</v>
      </c>
      <c r="D13" s="17">
        <f t="shared" si="0"/>
        <v>0.15999999999999992</v>
      </c>
    </row>
    <row r="14" spans="1:5" s="9" customFormat="1" ht="12" customHeight="1" x14ac:dyDescent="0.3">
      <c r="A14" s="107" t="s">
        <v>6</v>
      </c>
      <c r="B14" s="20">
        <v>43743</v>
      </c>
      <c r="C14" s="17">
        <v>1.38</v>
      </c>
      <c r="D14" s="17">
        <f t="shared" si="0"/>
        <v>7.9999999999999849E-2</v>
      </c>
    </row>
    <row r="15" spans="1:5" s="9" customFormat="1" ht="12" customHeight="1" x14ac:dyDescent="0.3">
      <c r="A15" s="107"/>
      <c r="B15" s="20">
        <v>43750</v>
      </c>
      <c r="C15" s="17">
        <v>2.34</v>
      </c>
      <c r="D15" s="17">
        <f t="shared" si="0"/>
        <v>1.0399999999999998</v>
      </c>
    </row>
    <row r="16" spans="1:5" s="9" customFormat="1" ht="12" customHeight="1" x14ac:dyDescent="0.3">
      <c r="A16" s="107"/>
      <c r="B16" s="20">
        <v>43757</v>
      </c>
      <c r="C16" s="17">
        <v>2.31</v>
      </c>
      <c r="D16" s="17">
        <f t="shared" si="0"/>
        <v>1.01</v>
      </c>
    </row>
    <row r="17" spans="1:4" s="9" customFormat="1" ht="12" customHeight="1" x14ac:dyDescent="0.3">
      <c r="A17" s="107"/>
      <c r="B17" s="20">
        <v>43764</v>
      </c>
      <c r="C17" s="17">
        <v>2.5499999999999998</v>
      </c>
      <c r="D17" s="17">
        <f t="shared" si="0"/>
        <v>1.2499999999999998</v>
      </c>
    </row>
    <row r="18" spans="1:4" s="9" customFormat="1" ht="12" customHeight="1" x14ac:dyDescent="0.3">
      <c r="A18" s="107" t="s">
        <v>7</v>
      </c>
      <c r="B18" s="20">
        <v>43771</v>
      </c>
      <c r="C18" s="17">
        <v>2.4900000000000002</v>
      </c>
      <c r="D18" s="17">
        <f t="shared" si="0"/>
        <v>1.1900000000000002</v>
      </c>
    </row>
    <row r="19" spans="1:4" s="9" customFormat="1" ht="12" customHeight="1" x14ac:dyDescent="0.3">
      <c r="A19" s="107"/>
      <c r="B19" s="20">
        <v>43778</v>
      </c>
      <c r="C19" s="17">
        <v>2.87</v>
      </c>
      <c r="D19" s="17">
        <f t="shared" si="0"/>
        <v>1.57</v>
      </c>
    </row>
    <row r="20" spans="1:4" s="9" customFormat="1" ht="12" customHeight="1" x14ac:dyDescent="0.3">
      <c r="A20" s="107"/>
      <c r="B20" s="20">
        <v>43785</v>
      </c>
      <c r="C20" s="17">
        <v>3</v>
      </c>
      <c r="D20" s="17">
        <f t="shared" si="0"/>
        <v>1.7</v>
      </c>
    </row>
    <row r="21" spans="1:4" s="9" customFormat="1" ht="12" customHeight="1" x14ac:dyDescent="0.3">
      <c r="A21" s="107"/>
      <c r="B21" s="20">
        <v>43792</v>
      </c>
      <c r="C21" s="17">
        <v>3.35</v>
      </c>
      <c r="D21" s="17">
        <f t="shared" si="0"/>
        <v>2.0499999999999998</v>
      </c>
    </row>
    <row r="22" spans="1:4" s="9" customFormat="1" ht="12" customHeight="1" x14ac:dyDescent="0.3">
      <c r="A22" s="107" t="s">
        <v>8</v>
      </c>
      <c r="B22" s="20">
        <v>43799</v>
      </c>
      <c r="C22" s="17">
        <v>3.46</v>
      </c>
      <c r="D22" s="17">
        <f t="shared" si="0"/>
        <v>2.16</v>
      </c>
    </row>
    <row r="23" spans="1:4" s="9" customFormat="1" ht="12" customHeight="1" x14ac:dyDescent="0.3">
      <c r="A23" s="107"/>
      <c r="B23" s="20">
        <v>43806</v>
      </c>
      <c r="C23" s="17">
        <v>3.64</v>
      </c>
      <c r="D23" s="17">
        <f t="shared" si="0"/>
        <v>2.34</v>
      </c>
    </row>
    <row r="24" spans="1:4" s="9" customFormat="1" ht="12" customHeight="1" x14ac:dyDescent="0.3">
      <c r="A24" s="107"/>
      <c r="B24" s="20">
        <v>43813</v>
      </c>
      <c r="C24" s="17">
        <f>3.83</f>
        <v>3.83</v>
      </c>
      <c r="D24" s="17">
        <f t="shared" si="0"/>
        <v>2.5300000000000002</v>
      </c>
    </row>
    <row r="25" spans="1:4" s="9" customFormat="1" ht="12" customHeight="1" x14ac:dyDescent="0.3">
      <c r="A25" s="107"/>
      <c r="B25" s="20">
        <v>43820</v>
      </c>
      <c r="C25" s="17">
        <f>4.07</f>
        <v>4.07</v>
      </c>
      <c r="D25" s="17">
        <f t="shared" si="0"/>
        <v>2.7700000000000005</v>
      </c>
    </row>
    <row r="26" spans="1:4" s="9" customFormat="1" ht="12" customHeight="1" x14ac:dyDescent="0.3">
      <c r="A26" s="107"/>
      <c r="B26" s="20">
        <v>43827</v>
      </c>
      <c r="C26" s="17">
        <f>4.31</f>
        <v>4.3099999999999996</v>
      </c>
      <c r="D26" s="17">
        <f t="shared" si="0"/>
        <v>3.01</v>
      </c>
    </row>
    <row r="27" spans="1:4" s="9" customFormat="1" ht="12" customHeight="1" x14ac:dyDescent="0.3">
      <c r="A27" s="107" t="s">
        <v>10</v>
      </c>
      <c r="B27" s="20">
        <v>43834</v>
      </c>
      <c r="C27" s="17">
        <v>4.5999999999999996</v>
      </c>
      <c r="D27" s="17">
        <f>C27-1.3</f>
        <v>3.3</v>
      </c>
    </row>
    <row r="28" spans="1:4" s="9" customFormat="1" ht="12" customHeight="1" x14ac:dyDescent="0.3">
      <c r="A28" s="107"/>
      <c r="B28" s="20">
        <v>43841</v>
      </c>
      <c r="C28" s="17">
        <v>4.8</v>
      </c>
      <c r="D28" s="17">
        <f>C28-1.3</f>
        <v>3.5</v>
      </c>
    </row>
    <row r="29" spans="1:4" s="9" customFormat="1" ht="12" customHeight="1" x14ac:dyDescent="0.3">
      <c r="A29" s="107"/>
      <c r="B29" s="20">
        <v>43848</v>
      </c>
      <c r="C29" s="17">
        <v>5.0199999999999996</v>
      </c>
      <c r="D29" s="17">
        <f>5.02-1.3</f>
        <v>3.7199999999999998</v>
      </c>
    </row>
    <row r="30" spans="1:4" s="9" customFormat="1" ht="12" customHeight="1" x14ac:dyDescent="0.3">
      <c r="A30" s="107"/>
      <c r="B30" s="20">
        <v>43855</v>
      </c>
      <c r="C30" s="17">
        <v>5.23</v>
      </c>
      <c r="D30" s="17">
        <f>5.23-1.3</f>
        <v>3.9300000000000006</v>
      </c>
    </row>
    <row r="31" spans="1:4" s="9" customFormat="1" ht="12" customHeight="1" x14ac:dyDescent="0.3">
      <c r="A31" s="107" t="s">
        <v>11</v>
      </c>
      <c r="B31" s="20">
        <v>43862</v>
      </c>
      <c r="C31" s="17">
        <v>5.43</v>
      </c>
      <c r="D31" s="17">
        <f>5.43-1.3</f>
        <v>4.13</v>
      </c>
    </row>
    <row r="32" spans="1:4" s="9" customFormat="1" ht="12" customHeight="1" x14ac:dyDescent="0.3">
      <c r="A32" s="107"/>
      <c r="B32" s="20">
        <v>43869</v>
      </c>
      <c r="C32" s="17">
        <v>5.62</v>
      </c>
      <c r="D32" s="17">
        <f>5.62-1.3</f>
        <v>4.32</v>
      </c>
    </row>
    <row r="33" spans="1:4" s="9" customFormat="1" ht="12" customHeight="1" x14ac:dyDescent="0.3">
      <c r="A33" s="107"/>
      <c r="B33" s="20">
        <v>43876</v>
      </c>
      <c r="C33" s="17">
        <v>5.78</v>
      </c>
      <c r="D33" s="17">
        <f t="shared" ref="D33:D52" si="1">C33-1.3</f>
        <v>4.4800000000000004</v>
      </c>
    </row>
    <row r="34" spans="1:4" s="9" customFormat="1" ht="12" customHeight="1" x14ac:dyDescent="0.3">
      <c r="A34" s="107"/>
      <c r="B34" s="20">
        <v>43883</v>
      </c>
      <c r="C34" s="17">
        <v>5.97</v>
      </c>
      <c r="D34" s="17">
        <f t="shared" si="1"/>
        <v>4.67</v>
      </c>
    </row>
    <row r="35" spans="1:4" s="9" customFormat="1" ht="12" customHeight="1" x14ac:dyDescent="0.3">
      <c r="A35" s="107"/>
      <c r="B35" s="20">
        <v>43890</v>
      </c>
      <c r="C35" s="17">
        <v>6.14</v>
      </c>
      <c r="D35" s="17">
        <f t="shared" si="1"/>
        <v>4.84</v>
      </c>
    </row>
    <row r="36" spans="1:4" s="9" customFormat="1" ht="12" customHeight="1" x14ac:dyDescent="0.3">
      <c r="A36" s="107" t="s">
        <v>13</v>
      </c>
      <c r="B36" s="20">
        <v>43897</v>
      </c>
      <c r="C36" s="17">
        <v>6.31</v>
      </c>
      <c r="D36" s="17">
        <f t="shared" si="1"/>
        <v>5.01</v>
      </c>
    </row>
    <row r="37" spans="1:4" s="9" customFormat="1" ht="12" customHeight="1" x14ac:dyDescent="0.3">
      <c r="A37" s="107"/>
      <c r="B37" s="20">
        <v>43904</v>
      </c>
      <c r="C37" s="17">
        <v>6.46</v>
      </c>
      <c r="D37" s="17">
        <f t="shared" si="1"/>
        <v>5.16</v>
      </c>
    </row>
    <row r="38" spans="1:4" s="9" customFormat="1" ht="12" customHeight="1" x14ac:dyDescent="0.3">
      <c r="A38" s="107"/>
      <c r="B38" s="20">
        <v>43911</v>
      </c>
      <c r="C38" s="17">
        <v>6.65</v>
      </c>
      <c r="D38" s="17">
        <f t="shared" si="1"/>
        <v>5.3500000000000005</v>
      </c>
    </row>
    <row r="39" spans="1:4" s="9" customFormat="1" ht="12" customHeight="1" x14ac:dyDescent="0.3">
      <c r="A39" s="107"/>
      <c r="B39" s="20">
        <v>43918</v>
      </c>
      <c r="C39" s="17">
        <v>6.8</v>
      </c>
      <c r="D39" s="17">
        <f t="shared" si="1"/>
        <v>5.5</v>
      </c>
    </row>
    <row r="40" spans="1:4" s="9" customFormat="1" ht="12" customHeight="1" x14ac:dyDescent="0.3">
      <c r="A40" s="107" t="s">
        <v>14</v>
      </c>
      <c r="B40" s="20">
        <v>43925</v>
      </c>
      <c r="C40" s="17">
        <v>6.91</v>
      </c>
      <c r="D40" s="17">
        <f t="shared" si="1"/>
        <v>5.61</v>
      </c>
    </row>
    <row r="41" spans="1:4" s="9" customFormat="1" ht="12" customHeight="1" x14ac:dyDescent="0.3">
      <c r="A41" s="107"/>
      <c r="B41" s="20">
        <v>43932</v>
      </c>
      <c r="C41" s="17">
        <v>7.17</v>
      </c>
      <c r="D41" s="17">
        <f t="shared" si="1"/>
        <v>5.87</v>
      </c>
    </row>
    <row r="42" spans="1:4" s="9" customFormat="1" ht="12" customHeight="1" x14ac:dyDescent="0.3">
      <c r="A42" s="107"/>
      <c r="B42" s="20">
        <v>43939</v>
      </c>
      <c r="C42" s="17">
        <v>6.39</v>
      </c>
      <c r="D42" s="17">
        <f t="shared" si="1"/>
        <v>5.09</v>
      </c>
    </row>
    <row r="43" spans="1:4" s="9" customFormat="1" ht="12" customHeight="1" x14ac:dyDescent="0.3">
      <c r="A43" s="107"/>
      <c r="B43" s="20">
        <v>43946</v>
      </c>
      <c r="C43" s="17">
        <v>6.51</v>
      </c>
      <c r="D43" s="17">
        <f t="shared" si="1"/>
        <v>5.21</v>
      </c>
    </row>
    <row r="44" spans="1:4" s="9" customFormat="1" ht="12" customHeight="1" x14ac:dyDescent="0.3">
      <c r="A44" s="127" t="s">
        <v>15</v>
      </c>
      <c r="B44" s="20">
        <v>43953</v>
      </c>
      <c r="C44" s="17">
        <v>6.7</v>
      </c>
      <c r="D44" s="17">
        <f t="shared" si="1"/>
        <v>5.4</v>
      </c>
    </row>
    <row r="45" spans="1:4" s="9" customFormat="1" ht="12" customHeight="1" x14ac:dyDescent="0.3">
      <c r="A45" s="128"/>
      <c r="B45" s="20">
        <v>43960</v>
      </c>
      <c r="C45" s="17">
        <v>7.83</v>
      </c>
      <c r="D45" s="17">
        <f t="shared" si="1"/>
        <v>6.53</v>
      </c>
    </row>
    <row r="46" spans="1:4" s="9" customFormat="1" ht="12" customHeight="1" x14ac:dyDescent="0.3">
      <c r="A46" s="128"/>
      <c r="B46" s="20">
        <v>43967</v>
      </c>
      <c r="C46" s="17">
        <v>7.79</v>
      </c>
      <c r="D46" s="17">
        <f t="shared" si="1"/>
        <v>6.49</v>
      </c>
    </row>
    <row r="47" spans="1:4" s="9" customFormat="1" ht="12" customHeight="1" x14ac:dyDescent="0.3">
      <c r="A47" s="128"/>
      <c r="B47" s="20">
        <v>43974</v>
      </c>
      <c r="C47" s="17">
        <v>7.91</v>
      </c>
      <c r="D47" s="17">
        <f t="shared" si="1"/>
        <v>6.61</v>
      </c>
    </row>
    <row r="48" spans="1:4" s="9" customFormat="1" ht="12" customHeight="1" x14ac:dyDescent="0.3">
      <c r="A48" s="128"/>
      <c r="B48" s="20">
        <v>43981</v>
      </c>
      <c r="C48" s="17">
        <v>8</v>
      </c>
      <c r="D48" s="17">
        <f t="shared" si="1"/>
        <v>6.7</v>
      </c>
    </row>
    <row r="49" spans="1:4" s="9" customFormat="1" ht="12" customHeight="1" x14ac:dyDescent="0.3">
      <c r="A49" s="107" t="s">
        <v>16</v>
      </c>
      <c r="B49" s="20">
        <v>43988</v>
      </c>
      <c r="C49" s="17">
        <v>7.93</v>
      </c>
      <c r="D49" s="17">
        <f t="shared" si="1"/>
        <v>6.63</v>
      </c>
    </row>
    <row r="50" spans="1:4" s="9" customFormat="1" ht="12" customHeight="1" x14ac:dyDescent="0.3">
      <c r="A50" s="107"/>
      <c r="B50" s="20">
        <v>43995</v>
      </c>
      <c r="C50" s="17">
        <v>7.84</v>
      </c>
      <c r="D50" s="17">
        <f t="shared" si="1"/>
        <v>6.54</v>
      </c>
    </row>
    <row r="51" spans="1:4" s="9" customFormat="1" ht="12" customHeight="1" x14ac:dyDescent="0.3">
      <c r="A51" s="107"/>
      <c r="B51" s="20">
        <v>44002</v>
      </c>
      <c r="C51" s="17">
        <v>7.91</v>
      </c>
      <c r="D51" s="17">
        <f t="shared" si="1"/>
        <v>6.61</v>
      </c>
    </row>
    <row r="52" spans="1:4" s="9" customFormat="1" ht="12" customHeight="1" x14ac:dyDescent="0.3">
      <c r="A52" s="107"/>
      <c r="B52" s="20">
        <v>44009</v>
      </c>
      <c r="C52" s="17">
        <v>7.97</v>
      </c>
      <c r="D52" s="17">
        <f t="shared" si="1"/>
        <v>6.67</v>
      </c>
    </row>
    <row r="53" spans="1:4" s="9" customFormat="1" ht="12" customHeight="1" x14ac:dyDescent="0.3">
      <c r="A53" s="111" t="s">
        <v>17</v>
      </c>
      <c r="B53" s="20">
        <v>44016</v>
      </c>
      <c r="C53" s="17">
        <v>7.6</v>
      </c>
      <c r="D53" s="17">
        <f>C53-1.3</f>
        <v>6.3</v>
      </c>
    </row>
    <row r="54" spans="1:4" s="9" customFormat="1" ht="12" customHeight="1" x14ac:dyDescent="0.3">
      <c r="A54" s="112"/>
      <c r="B54" s="20">
        <v>44023</v>
      </c>
      <c r="C54" s="17">
        <v>7.55</v>
      </c>
      <c r="D54" s="17">
        <f>C54-1.3</f>
        <v>6.25</v>
      </c>
    </row>
    <row r="55" spans="1:4" s="9" customFormat="1" ht="12" customHeight="1" x14ac:dyDescent="0.3">
      <c r="A55" s="112"/>
      <c r="B55" s="20">
        <v>44030</v>
      </c>
      <c r="C55" s="17">
        <v>7.54</v>
      </c>
      <c r="D55" s="17">
        <f>C55-1.3</f>
        <v>6.24</v>
      </c>
    </row>
    <row r="56" spans="1:4" s="9" customFormat="1" ht="12" customHeight="1" x14ac:dyDescent="0.3">
      <c r="A56" s="113"/>
      <c r="B56" s="20">
        <v>44037</v>
      </c>
      <c r="C56" s="17">
        <v>7.3</v>
      </c>
      <c r="D56" s="17">
        <f>C56-1.3</f>
        <v>6</v>
      </c>
    </row>
    <row r="57" spans="1:4" s="9" customFormat="1" ht="12" customHeight="1" x14ac:dyDescent="0.3">
      <c r="A57" s="112"/>
      <c r="B57" s="20">
        <v>44051</v>
      </c>
      <c r="C57" s="17">
        <v>6.19</v>
      </c>
      <c r="D57" s="17">
        <f t="shared" ref="D57:D69" si="2">C57-1.3</f>
        <v>4.8900000000000006</v>
      </c>
    </row>
    <row r="58" spans="1:4" s="9" customFormat="1" ht="12" customHeight="1" x14ac:dyDescent="0.3">
      <c r="A58" s="112"/>
      <c r="B58" s="20">
        <v>44058</v>
      </c>
      <c r="C58" s="17">
        <v>5.36</v>
      </c>
      <c r="D58" s="17">
        <f t="shared" si="2"/>
        <v>4.0600000000000005</v>
      </c>
    </row>
    <row r="59" spans="1:4" s="9" customFormat="1" ht="12" customHeight="1" x14ac:dyDescent="0.3">
      <c r="A59" s="112"/>
      <c r="B59" s="20">
        <v>44065</v>
      </c>
      <c r="C59" s="17">
        <v>5.23</v>
      </c>
      <c r="D59" s="17">
        <f t="shared" si="2"/>
        <v>3.9300000000000006</v>
      </c>
    </row>
    <row r="60" spans="1:4" s="9" customFormat="1" ht="12" customHeight="1" x14ac:dyDescent="0.3">
      <c r="A60" s="113"/>
      <c r="B60" s="20">
        <v>44072</v>
      </c>
      <c r="C60" s="17">
        <v>4.0199999999999996</v>
      </c>
      <c r="D60" s="17">
        <f t="shared" si="2"/>
        <v>2.7199999999999998</v>
      </c>
    </row>
    <row r="61" spans="1:4" s="9" customFormat="1" ht="12" customHeight="1" x14ac:dyDescent="0.3">
      <c r="A61" s="107" t="s">
        <v>2</v>
      </c>
      <c r="B61" s="20">
        <v>44079</v>
      </c>
      <c r="C61" s="17">
        <v>2.21</v>
      </c>
      <c r="D61" s="17">
        <f t="shared" si="2"/>
        <v>0.90999999999999992</v>
      </c>
    </row>
    <row r="62" spans="1:4" s="9" customFormat="1" ht="12" customHeight="1" x14ac:dyDescent="0.3">
      <c r="A62" s="107"/>
      <c r="B62" s="20">
        <v>44086</v>
      </c>
      <c r="C62" s="17">
        <v>2.02</v>
      </c>
      <c r="D62" s="17">
        <f t="shared" si="2"/>
        <v>0.72</v>
      </c>
    </row>
    <row r="63" spans="1:4" s="9" customFormat="1" ht="12" customHeight="1" x14ac:dyDescent="0.3">
      <c r="A63" s="107"/>
      <c r="B63" s="20">
        <v>44093</v>
      </c>
      <c r="C63" s="17">
        <v>2.21</v>
      </c>
      <c r="D63" s="17">
        <f t="shared" si="2"/>
        <v>0.90999999999999992</v>
      </c>
    </row>
    <row r="64" spans="1:4" s="9" customFormat="1" ht="12" customHeight="1" x14ac:dyDescent="0.3">
      <c r="A64" s="107"/>
      <c r="B64" s="20">
        <v>44100</v>
      </c>
      <c r="C64" s="17">
        <v>2.2000000000000002</v>
      </c>
      <c r="D64" s="17">
        <f t="shared" si="2"/>
        <v>0.90000000000000013</v>
      </c>
    </row>
    <row r="65" spans="1:4" s="9" customFormat="1" ht="12" customHeight="1" x14ac:dyDescent="0.3">
      <c r="A65" s="127" t="s">
        <v>6</v>
      </c>
      <c r="B65" s="20">
        <v>44107</v>
      </c>
      <c r="C65" s="17">
        <v>2.4</v>
      </c>
      <c r="D65" s="17">
        <f t="shared" si="2"/>
        <v>1.0999999999999999</v>
      </c>
    </row>
    <row r="66" spans="1:4" s="9" customFormat="1" ht="12" customHeight="1" x14ac:dyDescent="0.3">
      <c r="A66" s="128"/>
      <c r="B66" s="20">
        <v>44114</v>
      </c>
      <c r="C66" s="17">
        <v>3.4</v>
      </c>
      <c r="D66" s="17">
        <f t="shared" si="2"/>
        <v>2.0999999999999996</v>
      </c>
    </row>
    <row r="67" spans="1:4" s="9" customFormat="1" ht="12" customHeight="1" x14ac:dyDescent="0.3">
      <c r="A67" s="128"/>
      <c r="B67" s="20">
        <v>44121</v>
      </c>
      <c r="C67" s="17">
        <v>4.9000000000000004</v>
      </c>
      <c r="D67" s="17">
        <f t="shared" si="2"/>
        <v>3.6000000000000005</v>
      </c>
    </row>
    <row r="68" spans="1:4" s="9" customFormat="1" ht="12" customHeight="1" x14ac:dyDescent="0.3">
      <c r="A68" s="128"/>
      <c r="B68" s="20">
        <v>44128</v>
      </c>
      <c r="C68" s="17">
        <v>5.58</v>
      </c>
      <c r="D68" s="17">
        <f t="shared" si="2"/>
        <v>4.28</v>
      </c>
    </row>
    <row r="69" spans="1:4" s="9" customFormat="1" ht="12" customHeight="1" x14ac:dyDescent="0.3">
      <c r="A69" s="128"/>
      <c r="B69" s="20">
        <v>44135</v>
      </c>
      <c r="C69" s="17">
        <v>2.81</v>
      </c>
      <c r="D69" s="17">
        <f t="shared" si="2"/>
        <v>1.51</v>
      </c>
    </row>
    <row r="70" spans="1:4" s="9" customFormat="1" ht="12" customHeight="1" x14ac:dyDescent="0.3">
      <c r="A70" s="107" t="s">
        <v>7</v>
      </c>
      <c r="B70" s="20">
        <v>44142</v>
      </c>
      <c r="C70" s="17">
        <v>3.04</v>
      </c>
      <c r="D70" s="17">
        <f>C70-1.3</f>
        <v>1.74</v>
      </c>
    </row>
    <row r="71" spans="1:4" s="9" customFormat="1" ht="12" customHeight="1" x14ac:dyDescent="0.3">
      <c r="A71" s="107"/>
      <c r="B71" s="20">
        <v>44156</v>
      </c>
      <c r="C71" s="17">
        <v>3.38</v>
      </c>
      <c r="D71" s="17">
        <f t="shared" ref="D71:D100" si="3">C71-1.3</f>
        <v>2.08</v>
      </c>
    </row>
    <row r="72" spans="1:4" s="9" customFormat="1" ht="12" customHeight="1" x14ac:dyDescent="0.3">
      <c r="A72" s="107"/>
      <c r="B72" s="20">
        <v>44163</v>
      </c>
      <c r="C72" s="17">
        <v>3.58</v>
      </c>
      <c r="D72" s="17">
        <f t="shared" si="3"/>
        <v>2.2800000000000002</v>
      </c>
    </row>
    <row r="73" spans="1:4" s="9" customFormat="1" ht="12" customHeight="1" x14ac:dyDescent="0.3">
      <c r="A73" s="107" t="s">
        <v>19</v>
      </c>
      <c r="B73" s="20">
        <v>44170</v>
      </c>
      <c r="C73" s="17">
        <v>3.61</v>
      </c>
      <c r="D73" s="17">
        <f t="shared" si="3"/>
        <v>2.3099999999999996</v>
      </c>
    </row>
    <row r="74" spans="1:4" s="9" customFormat="1" ht="12" customHeight="1" x14ac:dyDescent="0.3">
      <c r="A74" s="107"/>
      <c r="B74" s="20">
        <v>44177</v>
      </c>
      <c r="C74" s="17">
        <v>4.01</v>
      </c>
      <c r="D74" s="17">
        <f t="shared" si="3"/>
        <v>2.71</v>
      </c>
    </row>
    <row r="75" spans="1:4" s="9" customFormat="1" ht="12" customHeight="1" x14ac:dyDescent="0.3">
      <c r="A75" s="107"/>
      <c r="B75" s="20">
        <v>44184</v>
      </c>
      <c r="C75" s="17">
        <v>4.34</v>
      </c>
      <c r="D75" s="17">
        <f t="shared" si="3"/>
        <v>3.04</v>
      </c>
    </row>
    <row r="76" spans="1:4" s="9" customFormat="1" ht="12" customHeight="1" x14ac:dyDescent="0.3">
      <c r="A76" s="107"/>
      <c r="B76" s="20">
        <v>44191</v>
      </c>
      <c r="C76" s="17">
        <v>4.57</v>
      </c>
      <c r="D76" s="17">
        <f t="shared" si="3"/>
        <v>3.2700000000000005</v>
      </c>
    </row>
    <row r="77" spans="1:4" s="9" customFormat="1" ht="12" customHeight="1" x14ac:dyDescent="0.3">
      <c r="A77" s="107" t="s">
        <v>10</v>
      </c>
      <c r="B77" s="20">
        <v>44198</v>
      </c>
      <c r="C77" s="17">
        <v>4.8600000000000003</v>
      </c>
      <c r="D77" s="17">
        <f t="shared" si="3"/>
        <v>3.5600000000000005</v>
      </c>
    </row>
    <row r="78" spans="1:4" s="9" customFormat="1" ht="12" customHeight="1" x14ac:dyDescent="0.3">
      <c r="A78" s="107"/>
      <c r="B78" s="20">
        <v>44205</v>
      </c>
      <c r="C78" s="17">
        <v>5.1100000000000003</v>
      </c>
      <c r="D78" s="17">
        <f t="shared" si="3"/>
        <v>3.8100000000000005</v>
      </c>
    </row>
    <row r="79" spans="1:4" s="9" customFormat="1" ht="12" customHeight="1" x14ac:dyDescent="0.3">
      <c r="A79" s="107"/>
      <c r="B79" s="20">
        <v>44219</v>
      </c>
      <c r="C79" s="17">
        <v>5.62</v>
      </c>
      <c r="D79" s="17">
        <f t="shared" si="3"/>
        <v>4.32</v>
      </c>
    </row>
    <row r="80" spans="1:4" s="9" customFormat="1" ht="12" customHeight="1" x14ac:dyDescent="0.3">
      <c r="A80" s="107"/>
      <c r="B80" s="20">
        <v>44226</v>
      </c>
      <c r="C80" s="17">
        <v>5.8</v>
      </c>
      <c r="D80" s="17">
        <f t="shared" si="3"/>
        <v>4.5</v>
      </c>
    </row>
    <row r="81" spans="1:9" s="9" customFormat="1" ht="12" customHeight="1" x14ac:dyDescent="0.3">
      <c r="A81" s="107" t="s">
        <v>12</v>
      </c>
      <c r="B81" s="20">
        <v>44233</v>
      </c>
      <c r="C81" s="17">
        <v>6.05</v>
      </c>
      <c r="D81" s="17">
        <f t="shared" si="3"/>
        <v>4.75</v>
      </c>
    </row>
    <row r="82" spans="1:9" s="9" customFormat="1" ht="12" customHeight="1" x14ac:dyDescent="0.3">
      <c r="A82" s="107"/>
      <c r="B82" s="20">
        <v>44240</v>
      </c>
      <c r="C82" s="17">
        <v>6.2</v>
      </c>
      <c r="D82" s="17">
        <f t="shared" si="3"/>
        <v>4.9000000000000004</v>
      </c>
    </row>
    <row r="83" spans="1:9" s="9" customFormat="1" ht="12" customHeight="1" x14ac:dyDescent="0.3">
      <c r="A83" s="107"/>
      <c r="B83" s="20">
        <v>44247</v>
      </c>
      <c r="C83" s="17">
        <v>6.38</v>
      </c>
      <c r="D83" s="17">
        <f t="shared" si="3"/>
        <v>5.08</v>
      </c>
    </row>
    <row r="84" spans="1:9" s="9" customFormat="1" ht="12" customHeight="1" x14ac:dyDescent="0.3">
      <c r="A84" s="107"/>
      <c r="B84" s="20">
        <v>44254</v>
      </c>
      <c r="C84" s="17">
        <v>6.5</v>
      </c>
      <c r="D84" s="17">
        <f t="shared" si="3"/>
        <v>5.2</v>
      </c>
    </row>
    <row r="85" spans="1:9" s="9" customFormat="1" ht="12" customHeight="1" x14ac:dyDescent="0.3">
      <c r="A85" s="107" t="s">
        <v>13</v>
      </c>
      <c r="B85" s="22">
        <v>44262</v>
      </c>
      <c r="C85" s="17">
        <v>6.71</v>
      </c>
      <c r="D85" s="17">
        <f t="shared" si="3"/>
        <v>5.41</v>
      </c>
    </row>
    <row r="86" spans="1:9" s="9" customFormat="1" ht="12" customHeight="1" x14ac:dyDescent="0.3">
      <c r="A86" s="107"/>
      <c r="B86" s="22">
        <v>44269</v>
      </c>
      <c r="C86" s="17">
        <v>6.81</v>
      </c>
      <c r="D86" s="17">
        <f t="shared" si="3"/>
        <v>5.51</v>
      </c>
    </row>
    <row r="87" spans="1:9" s="9" customFormat="1" ht="12" customHeight="1" x14ac:dyDescent="0.3">
      <c r="A87" s="107"/>
      <c r="B87" s="22">
        <v>44276</v>
      </c>
      <c r="C87" s="17">
        <v>7.07</v>
      </c>
      <c r="D87" s="17">
        <f t="shared" si="3"/>
        <v>5.7700000000000005</v>
      </c>
    </row>
    <row r="88" spans="1:9" s="9" customFormat="1" ht="12" customHeight="1" x14ac:dyDescent="0.3">
      <c r="A88" s="107"/>
      <c r="B88" s="22">
        <v>44282</v>
      </c>
      <c r="C88" s="17">
        <v>7.23</v>
      </c>
      <c r="D88" s="17">
        <f t="shared" si="3"/>
        <v>5.9300000000000006</v>
      </c>
    </row>
    <row r="89" spans="1:9" s="9" customFormat="1" ht="12" customHeight="1" x14ac:dyDescent="0.3">
      <c r="A89" s="107" t="s">
        <v>23</v>
      </c>
      <c r="B89" s="20">
        <v>44290</v>
      </c>
      <c r="C89" s="17">
        <v>7.45</v>
      </c>
      <c r="D89" s="17">
        <f t="shared" si="3"/>
        <v>6.15</v>
      </c>
    </row>
    <row r="90" spans="1:9" s="9" customFormat="1" ht="12" customHeight="1" x14ac:dyDescent="0.3">
      <c r="A90" s="107"/>
      <c r="B90" s="20">
        <v>44296</v>
      </c>
      <c r="C90" s="17">
        <v>7.6</v>
      </c>
      <c r="D90" s="17">
        <f t="shared" si="3"/>
        <v>6.3</v>
      </c>
    </row>
    <row r="91" spans="1:9" s="9" customFormat="1" ht="12" customHeight="1" x14ac:dyDescent="0.3">
      <c r="A91" s="107"/>
      <c r="B91" s="20">
        <v>44304</v>
      </c>
      <c r="C91" s="17">
        <v>7.67</v>
      </c>
      <c r="D91" s="17">
        <f t="shared" si="3"/>
        <v>6.37</v>
      </c>
    </row>
    <row r="92" spans="1:9" s="9" customFormat="1" ht="12" customHeight="1" x14ac:dyDescent="0.3">
      <c r="A92" s="107"/>
      <c r="B92" s="20">
        <v>44311</v>
      </c>
      <c r="C92" s="17">
        <v>7.8</v>
      </c>
      <c r="D92" s="17">
        <f t="shared" si="3"/>
        <v>6.5</v>
      </c>
    </row>
    <row r="93" spans="1:9" s="9" customFormat="1" ht="12" customHeight="1" x14ac:dyDescent="0.3">
      <c r="A93" s="112"/>
      <c r="B93" s="20">
        <v>44325</v>
      </c>
      <c r="C93" s="17">
        <v>8.1300000000000008</v>
      </c>
      <c r="D93" s="17">
        <f t="shared" si="3"/>
        <v>6.830000000000001</v>
      </c>
    </row>
    <row r="94" spans="1:9" s="9" customFormat="1" ht="12" customHeight="1" x14ac:dyDescent="0.3">
      <c r="A94" s="112"/>
      <c r="B94" s="20">
        <v>44331</v>
      </c>
      <c r="C94" s="17">
        <v>8.1</v>
      </c>
      <c r="D94" s="17">
        <f t="shared" si="3"/>
        <v>6.8</v>
      </c>
    </row>
    <row r="95" spans="1:9" s="9" customFormat="1" ht="12" customHeight="1" x14ac:dyDescent="0.3">
      <c r="A95" s="112"/>
      <c r="B95" s="20">
        <v>44338</v>
      </c>
      <c r="C95" s="17">
        <v>8.32</v>
      </c>
      <c r="D95" s="17">
        <f t="shared" si="3"/>
        <v>7.0200000000000005</v>
      </c>
      <c r="I95" s="23"/>
    </row>
    <row r="96" spans="1:9" s="9" customFormat="1" ht="12" customHeight="1" x14ac:dyDescent="0.3">
      <c r="A96" s="113"/>
      <c r="B96" s="20">
        <v>44345</v>
      </c>
      <c r="C96" s="17">
        <v>8.3000000000000007</v>
      </c>
      <c r="D96" s="17">
        <f t="shared" si="3"/>
        <v>7.0000000000000009</v>
      </c>
    </row>
    <row r="97" spans="1:4" s="9" customFormat="1" ht="12" customHeight="1" x14ac:dyDescent="0.3">
      <c r="A97" s="117"/>
      <c r="B97" s="20">
        <v>44359</v>
      </c>
      <c r="C97" s="17">
        <v>8.08</v>
      </c>
      <c r="D97" s="17">
        <f t="shared" si="3"/>
        <v>6.78</v>
      </c>
    </row>
    <row r="98" spans="1:4" s="9" customFormat="1" ht="12" customHeight="1" x14ac:dyDescent="0.3">
      <c r="A98" s="117"/>
      <c r="B98" s="20">
        <v>44366</v>
      </c>
      <c r="C98" s="17">
        <v>8.31</v>
      </c>
      <c r="D98" s="17">
        <f t="shared" si="3"/>
        <v>7.0100000000000007</v>
      </c>
    </row>
    <row r="99" spans="1:4" s="9" customFormat="1" ht="12" customHeight="1" x14ac:dyDescent="0.3">
      <c r="A99" s="107" t="s">
        <v>17</v>
      </c>
      <c r="B99" s="22">
        <v>44380</v>
      </c>
      <c r="C99" s="17">
        <v>7.47</v>
      </c>
      <c r="D99" s="17">
        <f t="shared" si="3"/>
        <v>6.17</v>
      </c>
    </row>
    <row r="100" spans="1:4" s="9" customFormat="1" ht="12" customHeight="1" x14ac:dyDescent="0.3">
      <c r="A100" s="107"/>
      <c r="B100" s="22">
        <v>44387</v>
      </c>
      <c r="C100" s="17">
        <v>8.1300000000000008</v>
      </c>
      <c r="D100" s="17">
        <f t="shared" si="3"/>
        <v>6.830000000000001</v>
      </c>
    </row>
    <row r="101" spans="1:4" s="9" customFormat="1" ht="12" customHeight="1" x14ac:dyDescent="0.3">
      <c r="A101" s="107"/>
      <c r="B101" s="22">
        <v>44408</v>
      </c>
      <c r="C101" s="17">
        <v>5.73</v>
      </c>
      <c r="D101" s="17">
        <f>C101-1.3</f>
        <v>4.4300000000000006</v>
      </c>
    </row>
    <row r="102" spans="1:4" s="9" customFormat="1" ht="12" customHeight="1" x14ac:dyDescent="0.3">
      <c r="A102" s="114" t="s">
        <v>18</v>
      </c>
      <c r="B102" s="22">
        <v>44415</v>
      </c>
      <c r="C102" s="17">
        <v>4.4400000000000004</v>
      </c>
      <c r="D102" s="17">
        <f t="shared" ref="D102" si="4">C102-1.3</f>
        <v>3.1400000000000006</v>
      </c>
    </row>
    <row r="103" spans="1:4" s="9" customFormat="1" ht="12" customHeight="1" x14ac:dyDescent="0.3">
      <c r="A103" s="114"/>
      <c r="B103" s="22">
        <v>44429</v>
      </c>
      <c r="C103" s="17">
        <v>3.34</v>
      </c>
      <c r="D103" s="17">
        <f>C103-1.3</f>
        <v>2.04</v>
      </c>
    </row>
    <row r="104" spans="1:4" s="9" customFormat="1" ht="12" customHeight="1" x14ac:dyDescent="0.3">
      <c r="A104" s="114" t="s">
        <v>25</v>
      </c>
      <c r="B104" s="22">
        <v>44443</v>
      </c>
      <c r="C104" s="17">
        <v>2.48</v>
      </c>
      <c r="D104" s="17">
        <f t="shared" ref="D104:D113" si="5">C104-1.3</f>
        <v>1.18</v>
      </c>
    </row>
    <row r="105" spans="1:4" s="9" customFormat="1" ht="12" customHeight="1" x14ac:dyDescent="0.3">
      <c r="A105" s="114"/>
      <c r="B105" s="22">
        <v>44450</v>
      </c>
      <c r="C105" s="17">
        <v>2.48</v>
      </c>
      <c r="D105" s="17">
        <f t="shared" si="5"/>
        <v>1.18</v>
      </c>
    </row>
    <row r="106" spans="1:4" s="9" customFormat="1" ht="12" customHeight="1" x14ac:dyDescent="0.3">
      <c r="A106" s="114"/>
      <c r="B106" s="22">
        <v>44457</v>
      </c>
      <c r="C106" s="17">
        <v>2.02</v>
      </c>
      <c r="D106" s="17">
        <f t="shared" si="5"/>
        <v>0.72</v>
      </c>
    </row>
    <row r="107" spans="1:4" s="9" customFormat="1" ht="12" customHeight="1" x14ac:dyDescent="0.3">
      <c r="A107" s="114"/>
      <c r="B107" s="22">
        <v>44464</v>
      </c>
      <c r="C107" s="17">
        <v>2.17</v>
      </c>
      <c r="D107" s="17">
        <f t="shared" si="5"/>
        <v>0.86999999999999988</v>
      </c>
    </row>
    <row r="108" spans="1:4" s="9" customFormat="1" ht="12" customHeight="1" x14ac:dyDescent="0.3">
      <c r="A108" s="114" t="s">
        <v>6</v>
      </c>
      <c r="B108" s="22">
        <v>44471</v>
      </c>
      <c r="C108" s="17">
        <v>2.2400000000000002</v>
      </c>
      <c r="D108" s="17">
        <f t="shared" si="5"/>
        <v>0.94000000000000017</v>
      </c>
    </row>
    <row r="109" spans="1:4" s="9" customFormat="1" ht="12" customHeight="1" x14ac:dyDescent="0.3">
      <c r="A109" s="114"/>
      <c r="B109" s="22">
        <v>44478</v>
      </c>
      <c r="C109" s="17">
        <v>2.2200000000000002</v>
      </c>
      <c r="D109" s="17">
        <f t="shared" si="5"/>
        <v>0.92000000000000015</v>
      </c>
    </row>
    <row r="110" spans="1:4" s="9" customFormat="1" ht="12" customHeight="1" x14ac:dyDescent="0.3">
      <c r="A110" s="114"/>
      <c r="B110" s="22">
        <v>44492</v>
      </c>
      <c r="C110" s="17">
        <v>2.73</v>
      </c>
      <c r="D110" s="17">
        <f t="shared" ref="D110" si="6">C110-1.3</f>
        <v>1.43</v>
      </c>
    </row>
    <row r="111" spans="1:4" s="9" customFormat="1" ht="12" customHeight="1" x14ac:dyDescent="0.3">
      <c r="A111" s="114"/>
      <c r="B111" s="22">
        <v>44499</v>
      </c>
      <c r="C111" s="17">
        <v>2.75</v>
      </c>
      <c r="D111" s="17">
        <f t="shared" si="5"/>
        <v>1.45</v>
      </c>
    </row>
    <row r="112" spans="1:4" s="9" customFormat="1" ht="12" customHeight="1" x14ac:dyDescent="0.3">
      <c r="A112" s="111" t="s">
        <v>7</v>
      </c>
      <c r="B112" s="20">
        <v>44513</v>
      </c>
      <c r="C112" s="17">
        <v>3.05</v>
      </c>
      <c r="D112" s="17">
        <f t="shared" si="5"/>
        <v>1.7499999999999998</v>
      </c>
    </row>
    <row r="113" spans="1:4" s="9" customFormat="1" ht="12" customHeight="1" x14ac:dyDescent="0.3">
      <c r="A113" s="112"/>
      <c r="B113" s="24">
        <v>44527</v>
      </c>
      <c r="C113" s="17">
        <v>3.4</v>
      </c>
      <c r="D113" s="17">
        <f t="shared" si="5"/>
        <v>2.0999999999999996</v>
      </c>
    </row>
    <row r="114" spans="1:4" s="9" customFormat="1" ht="12" customHeight="1" x14ac:dyDescent="0.3">
      <c r="A114" s="114"/>
      <c r="B114" s="22">
        <v>44541</v>
      </c>
      <c r="C114" s="25">
        <v>3.79</v>
      </c>
      <c r="D114" s="25">
        <f t="shared" ref="D114:D117" si="7">C114-1.3</f>
        <v>2.4900000000000002</v>
      </c>
    </row>
    <row r="115" spans="1:4" s="9" customFormat="1" ht="12" customHeight="1" x14ac:dyDescent="0.3">
      <c r="A115" s="114"/>
      <c r="B115" s="22">
        <v>44548</v>
      </c>
      <c r="C115" s="27">
        <v>4.08</v>
      </c>
      <c r="D115" s="25">
        <f t="shared" si="7"/>
        <v>2.7800000000000002</v>
      </c>
    </row>
    <row r="116" spans="1:4" s="9" customFormat="1" ht="12" customHeight="1" x14ac:dyDescent="0.3">
      <c r="A116" s="114"/>
      <c r="B116" s="22">
        <v>44555</v>
      </c>
      <c r="C116" s="25">
        <v>4.38</v>
      </c>
      <c r="D116" s="25">
        <f t="shared" si="7"/>
        <v>3.08</v>
      </c>
    </row>
    <row r="117" spans="1:4" s="9" customFormat="1" ht="12" customHeight="1" x14ac:dyDescent="0.3">
      <c r="A117" s="114" t="s">
        <v>20</v>
      </c>
      <c r="B117" s="22">
        <v>44562</v>
      </c>
      <c r="C117" s="25">
        <v>4.67</v>
      </c>
      <c r="D117" s="25">
        <f t="shared" si="7"/>
        <v>3.37</v>
      </c>
    </row>
    <row r="118" spans="1:4" s="9" customFormat="1" ht="12" customHeight="1" x14ac:dyDescent="0.3">
      <c r="A118" s="114"/>
      <c r="B118" s="22">
        <v>44576</v>
      </c>
      <c r="C118" s="27">
        <v>5.2</v>
      </c>
      <c r="D118" s="25">
        <f t="shared" ref="D118" si="8">C118-1.3</f>
        <v>3.9000000000000004</v>
      </c>
    </row>
    <row r="119" spans="1:4" s="9" customFormat="1" ht="12" customHeight="1" x14ac:dyDescent="0.3">
      <c r="A119" s="114"/>
      <c r="B119" s="22">
        <v>44584</v>
      </c>
      <c r="C119" s="25">
        <v>5.5</v>
      </c>
      <c r="D119" s="25">
        <f t="shared" ref="D119:D124" si="9">C119-1.3</f>
        <v>4.2</v>
      </c>
    </row>
    <row r="120" spans="1:4" s="9" customFormat="1" ht="12" customHeight="1" x14ac:dyDescent="0.3">
      <c r="A120" s="114"/>
      <c r="B120" s="22">
        <v>44590</v>
      </c>
      <c r="C120" s="25">
        <v>5.67</v>
      </c>
      <c r="D120" s="25">
        <f t="shared" si="9"/>
        <v>4.37</v>
      </c>
    </row>
    <row r="121" spans="1:4" s="9" customFormat="1" ht="12" customHeight="1" x14ac:dyDescent="0.3">
      <c r="A121" s="114" t="s">
        <v>29</v>
      </c>
      <c r="B121" s="22">
        <v>44597</v>
      </c>
      <c r="C121" s="25">
        <v>5.87</v>
      </c>
      <c r="D121" s="25">
        <f t="shared" si="9"/>
        <v>4.57</v>
      </c>
    </row>
    <row r="122" spans="1:4" s="9" customFormat="1" ht="12" customHeight="1" x14ac:dyDescent="0.3">
      <c r="A122" s="114"/>
      <c r="B122" s="22">
        <v>44604</v>
      </c>
      <c r="C122" s="27">
        <v>6.09</v>
      </c>
      <c r="D122" s="25">
        <f t="shared" si="9"/>
        <v>4.79</v>
      </c>
    </row>
    <row r="123" spans="1:4" s="9" customFormat="1" ht="12" customHeight="1" x14ac:dyDescent="0.3">
      <c r="A123" s="114"/>
      <c r="B123" s="22">
        <v>44612</v>
      </c>
      <c r="C123" s="27">
        <v>6.29</v>
      </c>
      <c r="D123" s="25">
        <f t="shared" si="9"/>
        <v>4.99</v>
      </c>
    </row>
    <row r="124" spans="1:4" s="9" customFormat="1" ht="12" customHeight="1" x14ac:dyDescent="0.3">
      <c r="A124" s="114"/>
      <c r="B124" s="22">
        <v>44619</v>
      </c>
      <c r="C124" s="25">
        <v>6.46</v>
      </c>
      <c r="D124" s="25">
        <f t="shared" si="9"/>
        <v>5.16</v>
      </c>
    </row>
    <row r="125" spans="1:4" s="9" customFormat="1" ht="12" customHeight="1" x14ac:dyDescent="0.3">
      <c r="A125" s="114" t="s">
        <v>13</v>
      </c>
      <c r="B125" s="22">
        <v>44626</v>
      </c>
      <c r="C125" s="25">
        <v>6.62</v>
      </c>
      <c r="D125" s="25">
        <f>C125-1.3</f>
        <v>5.32</v>
      </c>
    </row>
    <row r="126" spans="1:4" s="9" customFormat="1" ht="12" customHeight="1" x14ac:dyDescent="0.3">
      <c r="A126" s="114"/>
      <c r="B126" s="22">
        <v>44633</v>
      </c>
      <c r="C126" s="28">
        <v>6.8</v>
      </c>
      <c r="D126" s="25">
        <f t="shared" ref="D126:D142" si="10">C126-1.3</f>
        <v>5.5</v>
      </c>
    </row>
    <row r="127" spans="1:4" s="9" customFormat="1" ht="12" customHeight="1" x14ac:dyDescent="0.3">
      <c r="A127" s="114"/>
      <c r="B127" s="22">
        <v>44640</v>
      </c>
      <c r="C127" s="27">
        <v>6.99</v>
      </c>
      <c r="D127" s="25">
        <f t="shared" si="10"/>
        <v>5.69</v>
      </c>
    </row>
    <row r="128" spans="1:4" s="9" customFormat="1" ht="12" customHeight="1" x14ac:dyDescent="0.3">
      <c r="A128" s="114"/>
      <c r="B128" s="22">
        <v>44646</v>
      </c>
      <c r="C128" s="25">
        <v>7.17</v>
      </c>
      <c r="D128" s="25">
        <f t="shared" si="10"/>
        <v>5.87</v>
      </c>
    </row>
    <row r="129" spans="1:4" s="9" customFormat="1" ht="12" customHeight="1" x14ac:dyDescent="0.3">
      <c r="A129" s="114" t="s">
        <v>23</v>
      </c>
      <c r="B129" s="22">
        <v>44654</v>
      </c>
      <c r="C129" s="25">
        <v>7.39</v>
      </c>
      <c r="D129" s="25">
        <f t="shared" si="10"/>
        <v>6.09</v>
      </c>
    </row>
    <row r="130" spans="1:4" s="9" customFormat="1" ht="12" customHeight="1" x14ac:dyDescent="0.3">
      <c r="A130" s="114"/>
      <c r="B130" s="22">
        <v>44674</v>
      </c>
      <c r="C130" s="25">
        <v>7.77</v>
      </c>
      <c r="D130" s="25">
        <f t="shared" ref="D130" si="11">C130-1.3</f>
        <v>6.47</v>
      </c>
    </row>
    <row r="131" spans="1:4" s="9" customFormat="1" ht="12" customHeight="1" x14ac:dyDescent="0.3">
      <c r="A131" s="114"/>
      <c r="B131" s="22">
        <v>44681</v>
      </c>
      <c r="C131" s="25">
        <v>7.92</v>
      </c>
      <c r="D131" s="25">
        <f t="shared" si="10"/>
        <v>6.62</v>
      </c>
    </row>
    <row r="132" spans="1:4" s="9" customFormat="1" ht="12" customHeight="1" x14ac:dyDescent="0.3">
      <c r="A132" s="114" t="s">
        <v>24</v>
      </c>
      <c r="B132" s="22">
        <v>44687</v>
      </c>
      <c r="C132" s="25">
        <v>8.01</v>
      </c>
      <c r="D132" s="25">
        <f t="shared" si="10"/>
        <v>6.71</v>
      </c>
    </row>
    <row r="133" spans="1:4" s="9" customFormat="1" ht="12" customHeight="1" x14ac:dyDescent="0.3">
      <c r="A133" s="114"/>
      <c r="B133" s="22">
        <v>44696</v>
      </c>
      <c r="C133" s="25">
        <v>7.17</v>
      </c>
      <c r="D133" s="25">
        <f t="shared" si="10"/>
        <v>5.87</v>
      </c>
    </row>
    <row r="134" spans="1:4" s="9" customFormat="1" ht="12" customHeight="1" x14ac:dyDescent="0.3">
      <c r="A134" s="114"/>
      <c r="B134" s="22">
        <v>44703</v>
      </c>
      <c r="C134" s="25">
        <v>8.2799999999999994</v>
      </c>
      <c r="D134" s="25">
        <f t="shared" si="10"/>
        <v>6.9799999999999995</v>
      </c>
    </row>
    <row r="135" spans="1:4" s="9" customFormat="1" ht="12" customHeight="1" x14ac:dyDescent="0.3">
      <c r="A135" s="114"/>
      <c r="B135" s="22">
        <v>44708</v>
      </c>
      <c r="C135" s="25">
        <v>8.3000000000000007</v>
      </c>
      <c r="D135" s="25">
        <f t="shared" si="10"/>
        <v>7.0000000000000009</v>
      </c>
    </row>
    <row r="136" spans="1:4" s="9" customFormat="1" ht="12" customHeight="1" x14ac:dyDescent="0.3">
      <c r="A136" s="107"/>
      <c r="B136" s="29">
        <v>44722</v>
      </c>
      <c r="C136" s="17">
        <v>8.4700000000000006</v>
      </c>
      <c r="D136" s="27">
        <f t="shared" si="10"/>
        <v>7.1700000000000008</v>
      </c>
    </row>
    <row r="137" spans="1:4" s="9" customFormat="1" ht="12" customHeight="1" x14ac:dyDescent="0.3">
      <c r="A137" s="107"/>
      <c r="B137" s="29">
        <v>44729</v>
      </c>
      <c r="C137" s="30">
        <v>8.41</v>
      </c>
      <c r="D137" s="27">
        <f t="shared" si="10"/>
        <v>7.11</v>
      </c>
    </row>
    <row r="138" spans="1:4" s="9" customFormat="1" ht="12" customHeight="1" x14ac:dyDescent="0.3">
      <c r="A138" s="107"/>
      <c r="B138" s="29">
        <v>44736</v>
      </c>
      <c r="C138" s="17">
        <v>7.86</v>
      </c>
      <c r="D138" s="27">
        <f t="shared" si="10"/>
        <v>6.5600000000000005</v>
      </c>
    </row>
    <row r="139" spans="1:4" s="9" customFormat="1" ht="12" customHeight="1" x14ac:dyDescent="0.3">
      <c r="A139" s="107" t="s">
        <v>3</v>
      </c>
      <c r="B139" s="29">
        <v>44743</v>
      </c>
      <c r="C139" s="31">
        <v>7.26</v>
      </c>
      <c r="D139" s="27">
        <f t="shared" si="10"/>
        <v>5.96</v>
      </c>
    </row>
    <row r="140" spans="1:4" s="9" customFormat="1" ht="12" customHeight="1" x14ac:dyDescent="0.3">
      <c r="A140" s="107"/>
      <c r="B140" s="29">
        <v>44758</v>
      </c>
      <c r="C140" s="30">
        <v>5.69</v>
      </c>
      <c r="D140" s="27">
        <f t="shared" si="10"/>
        <v>4.3900000000000006</v>
      </c>
    </row>
    <row r="141" spans="1:4" s="9" customFormat="1" ht="12" customHeight="1" x14ac:dyDescent="0.3">
      <c r="A141" s="107"/>
      <c r="B141" s="29">
        <v>44764</v>
      </c>
      <c r="C141" s="17">
        <v>5.29</v>
      </c>
      <c r="D141" s="27">
        <f t="shared" ref="D141" si="12">C141-1.3</f>
        <v>3.99</v>
      </c>
    </row>
    <row r="142" spans="1:4" s="9" customFormat="1" ht="12" customHeight="1" x14ac:dyDescent="0.3">
      <c r="A142" s="107"/>
      <c r="B142" s="29">
        <v>44771</v>
      </c>
      <c r="C142" s="17">
        <v>4.88</v>
      </c>
      <c r="D142" s="27">
        <f t="shared" si="10"/>
        <v>3.58</v>
      </c>
    </row>
    <row r="143" spans="1:4" s="9" customFormat="1" ht="12" customHeight="1" x14ac:dyDescent="0.3">
      <c r="A143" s="107" t="s">
        <v>18</v>
      </c>
      <c r="B143" s="29">
        <v>44780</v>
      </c>
      <c r="C143" s="31">
        <v>4.3899999999999997</v>
      </c>
      <c r="D143" s="27">
        <f t="shared" ref="D143:D144" si="13">C143-1.3</f>
        <v>3.09</v>
      </c>
    </row>
    <row r="144" spans="1:4" s="9" customFormat="1" ht="12" customHeight="1" x14ac:dyDescent="0.3">
      <c r="A144" s="107"/>
      <c r="B144" s="32">
        <v>44786</v>
      </c>
      <c r="C144" s="31">
        <v>3.7</v>
      </c>
      <c r="D144" s="27">
        <f t="shared" si="13"/>
        <v>2.4000000000000004</v>
      </c>
    </row>
    <row r="145" spans="1:4" s="9" customFormat="1" ht="12" customHeight="1" x14ac:dyDescent="0.3">
      <c r="A145" s="107"/>
      <c r="B145" s="29">
        <v>44798</v>
      </c>
      <c r="C145" s="31">
        <v>1.98</v>
      </c>
      <c r="D145" s="27">
        <f t="shared" ref="D145:D148" si="14">C145-1.3</f>
        <v>0.67999999999999994</v>
      </c>
    </row>
    <row r="146" spans="1:4" s="9" customFormat="1" ht="12" customHeight="1" x14ac:dyDescent="0.3">
      <c r="A146" s="107" t="s">
        <v>25</v>
      </c>
      <c r="B146" s="29">
        <v>44806</v>
      </c>
      <c r="C146" s="31">
        <v>1.7</v>
      </c>
      <c r="D146" s="27">
        <f t="shared" si="14"/>
        <v>0.39999999999999991</v>
      </c>
    </row>
    <row r="147" spans="1:4" s="9" customFormat="1" ht="12" customHeight="1" x14ac:dyDescent="0.3">
      <c r="A147" s="107"/>
      <c r="B147" s="29">
        <v>44814</v>
      </c>
      <c r="C147" s="17">
        <v>1.85</v>
      </c>
      <c r="D147" s="27">
        <f t="shared" si="14"/>
        <v>0.55000000000000004</v>
      </c>
    </row>
    <row r="148" spans="1:4" s="9" customFormat="1" ht="12" customHeight="1" x14ac:dyDescent="0.3">
      <c r="A148" s="107"/>
      <c r="B148" s="29">
        <v>44822</v>
      </c>
      <c r="C148" s="30">
        <v>2.12</v>
      </c>
      <c r="D148" s="27">
        <f t="shared" si="14"/>
        <v>0.82000000000000006</v>
      </c>
    </row>
    <row r="149" spans="1:4" s="9" customFormat="1" ht="12" customHeight="1" x14ac:dyDescent="0.3">
      <c r="A149" s="107" t="s">
        <v>26</v>
      </c>
      <c r="B149" s="29">
        <v>44841</v>
      </c>
      <c r="C149" s="31">
        <v>2.23</v>
      </c>
      <c r="D149" s="27">
        <f t="shared" ref="D149:D157" si="15">C149-1.3</f>
        <v>0.92999999999999994</v>
      </c>
    </row>
    <row r="150" spans="1:4" s="9" customFormat="1" ht="12" customHeight="1" x14ac:dyDescent="0.3">
      <c r="A150" s="107"/>
      <c r="B150" s="29">
        <v>44848</v>
      </c>
      <c r="C150" s="17">
        <v>2.44</v>
      </c>
      <c r="D150" s="27">
        <f>C150-1.3</f>
        <v>1.1399999999999999</v>
      </c>
    </row>
    <row r="151" spans="1:4" s="9" customFormat="1" ht="12" customHeight="1" x14ac:dyDescent="0.3">
      <c r="A151" s="107"/>
      <c r="B151" s="29">
        <v>44855</v>
      </c>
      <c r="C151" s="30">
        <v>2.68</v>
      </c>
      <c r="D151" s="27">
        <f t="shared" si="15"/>
        <v>1.3800000000000001</v>
      </c>
    </row>
    <row r="152" spans="1:4" s="9" customFormat="1" ht="12" customHeight="1" x14ac:dyDescent="0.3">
      <c r="A152" s="107"/>
      <c r="B152" s="29">
        <v>44862</v>
      </c>
      <c r="C152" s="17">
        <v>2.87</v>
      </c>
      <c r="D152" s="27">
        <f t="shared" si="15"/>
        <v>1.57</v>
      </c>
    </row>
    <row r="153" spans="1:4" s="9" customFormat="1" ht="12" customHeight="1" x14ac:dyDescent="0.3">
      <c r="A153" s="112" t="s">
        <v>27</v>
      </c>
      <c r="B153" s="29">
        <v>44870</v>
      </c>
      <c r="C153" s="30">
        <v>3.08</v>
      </c>
      <c r="D153" s="27">
        <f t="shared" si="15"/>
        <v>1.78</v>
      </c>
    </row>
    <row r="154" spans="1:4" s="9" customFormat="1" ht="12" customHeight="1" x14ac:dyDescent="0.3">
      <c r="A154" s="112"/>
      <c r="B154" s="29">
        <v>44876</v>
      </c>
      <c r="C154" s="30">
        <v>3.24</v>
      </c>
      <c r="D154" s="27">
        <f t="shared" si="15"/>
        <v>1.9400000000000002</v>
      </c>
    </row>
    <row r="155" spans="1:4" s="9" customFormat="1" ht="12" customHeight="1" x14ac:dyDescent="0.3">
      <c r="A155" s="112"/>
      <c r="B155" s="29">
        <v>44884</v>
      </c>
      <c r="C155" s="33">
        <v>3.34</v>
      </c>
      <c r="D155" s="27">
        <f t="shared" si="15"/>
        <v>2.04</v>
      </c>
    </row>
    <row r="156" spans="1:4" s="9" customFormat="1" ht="12" customHeight="1" thickBot="1" x14ac:dyDescent="0.35">
      <c r="A156" s="112"/>
      <c r="B156" s="34">
        <v>44891</v>
      </c>
      <c r="C156" s="15">
        <v>3.52</v>
      </c>
      <c r="D156" s="35">
        <f t="shared" si="15"/>
        <v>2.2199999999999998</v>
      </c>
    </row>
    <row r="157" spans="1:4" s="9" customFormat="1" ht="12" customHeight="1" x14ac:dyDescent="0.3">
      <c r="A157" s="123" t="s">
        <v>28</v>
      </c>
      <c r="B157" s="36">
        <v>44899</v>
      </c>
      <c r="C157" s="37">
        <v>3.65</v>
      </c>
      <c r="D157" s="38">
        <f t="shared" si="15"/>
        <v>2.3499999999999996</v>
      </c>
    </row>
    <row r="158" spans="1:4" s="9" customFormat="1" ht="12" customHeight="1" x14ac:dyDescent="0.3">
      <c r="A158" s="124"/>
      <c r="B158" s="29">
        <v>44912</v>
      </c>
      <c r="C158" s="33">
        <v>4</v>
      </c>
      <c r="D158" s="27">
        <f>C158-1.3</f>
        <v>2.7</v>
      </c>
    </row>
    <row r="159" spans="1:4" s="9" customFormat="1" ht="12" customHeight="1" thickBot="1" x14ac:dyDescent="0.35">
      <c r="A159" s="125"/>
      <c r="B159" s="39">
        <v>44925</v>
      </c>
      <c r="C159" s="40">
        <v>4.45</v>
      </c>
      <c r="D159" s="41">
        <f t="shared" ref="D159:D161" si="16">C159-1.3</f>
        <v>3.1500000000000004</v>
      </c>
    </row>
    <row r="160" spans="1:4" s="9" customFormat="1" ht="12" customHeight="1" thickBot="1" x14ac:dyDescent="0.35">
      <c r="A160" s="98" t="s">
        <v>20</v>
      </c>
      <c r="B160" s="36">
        <v>44932</v>
      </c>
      <c r="C160" s="42">
        <v>4.72</v>
      </c>
      <c r="D160" s="38">
        <f t="shared" si="16"/>
        <v>3.42</v>
      </c>
    </row>
    <row r="161" spans="1:4" s="9" customFormat="1" ht="12" customHeight="1" thickBot="1" x14ac:dyDescent="0.35">
      <c r="A161" s="98" t="s">
        <v>29</v>
      </c>
      <c r="B161" s="36">
        <v>44960</v>
      </c>
      <c r="C161" s="43">
        <v>5.41</v>
      </c>
      <c r="D161" s="38">
        <f t="shared" si="16"/>
        <v>4.1100000000000003</v>
      </c>
    </row>
    <row r="162" spans="1:4" s="9" customFormat="1" ht="12" customHeight="1" x14ac:dyDescent="0.3">
      <c r="A162" s="123" t="s">
        <v>13</v>
      </c>
      <c r="B162" s="36">
        <v>44989</v>
      </c>
      <c r="C162" s="42">
        <v>6.2</v>
      </c>
      <c r="D162" s="38">
        <f>C162-1.3</f>
        <v>4.9000000000000004</v>
      </c>
    </row>
    <row r="163" spans="1:4" s="9" customFormat="1" ht="12" customHeight="1" x14ac:dyDescent="0.3">
      <c r="A163" s="126"/>
      <c r="B163" s="29">
        <v>45009</v>
      </c>
      <c r="C163" s="17">
        <v>6.82</v>
      </c>
      <c r="D163" s="27">
        <f t="shared" ref="D163:D164" si="17">C163-1.3</f>
        <v>5.5200000000000005</v>
      </c>
    </row>
    <row r="164" spans="1:4" s="9" customFormat="1" ht="12" customHeight="1" thickBot="1" x14ac:dyDescent="0.35">
      <c r="A164" s="125"/>
      <c r="B164" s="39">
        <v>45016</v>
      </c>
      <c r="C164" s="40">
        <v>7.03</v>
      </c>
      <c r="D164" s="41">
        <f t="shared" si="17"/>
        <v>5.73</v>
      </c>
    </row>
    <row r="165" spans="1:4" s="9" customFormat="1" ht="12" customHeight="1" thickBot="1" x14ac:dyDescent="0.35">
      <c r="A165" s="99"/>
      <c r="B165" s="34">
        <v>45045</v>
      </c>
      <c r="C165" s="15">
        <v>8.73</v>
      </c>
      <c r="D165" s="35">
        <f t="shared" ref="D165:D166" si="18">C165-1.3</f>
        <v>7.4300000000000006</v>
      </c>
    </row>
    <row r="166" spans="1:4" s="9" customFormat="1" ht="12" customHeight="1" x14ac:dyDescent="0.3">
      <c r="A166" s="98" t="s">
        <v>24</v>
      </c>
      <c r="B166" s="44">
        <v>45051</v>
      </c>
      <c r="C166" s="45">
        <v>8</v>
      </c>
      <c r="D166" s="38">
        <f t="shared" si="18"/>
        <v>6.7</v>
      </c>
    </row>
    <row r="167" spans="1:4" s="9" customFormat="1" ht="12" customHeight="1" x14ac:dyDescent="0.3">
      <c r="A167" s="126"/>
      <c r="B167" s="29">
        <v>45102</v>
      </c>
      <c r="C167" s="46">
        <v>8.1</v>
      </c>
      <c r="D167" s="27">
        <f t="shared" ref="D167:D168" si="19">C167-1.3</f>
        <v>6.8</v>
      </c>
    </row>
    <row r="168" spans="1:4" s="9" customFormat="1" ht="12" customHeight="1" thickBot="1" x14ac:dyDescent="0.35">
      <c r="A168" s="125"/>
      <c r="B168" s="39">
        <v>45107</v>
      </c>
      <c r="C168" s="48">
        <v>7.98</v>
      </c>
      <c r="D168" s="49">
        <f t="shared" si="19"/>
        <v>6.6800000000000006</v>
      </c>
    </row>
    <row r="169" spans="1:4" s="9" customFormat="1" ht="12" customHeight="1" x14ac:dyDescent="0.3">
      <c r="A169" s="126"/>
      <c r="B169" s="29">
        <v>45128</v>
      </c>
      <c r="C169" s="46">
        <v>7.02</v>
      </c>
      <c r="D169" s="27">
        <f t="shared" ref="D169" si="20">C169-1.3</f>
        <v>5.72</v>
      </c>
    </row>
    <row r="170" spans="1:4" s="9" customFormat="1" ht="12" customHeight="1" thickBot="1" x14ac:dyDescent="0.35">
      <c r="A170" s="125"/>
      <c r="B170" s="39">
        <v>45135</v>
      </c>
      <c r="C170" s="48">
        <v>6.75</v>
      </c>
      <c r="D170" s="49">
        <f>C170-1.17</f>
        <v>5.58</v>
      </c>
    </row>
    <row r="171" spans="1:4" s="9" customFormat="1" ht="12" customHeight="1" x14ac:dyDescent="0.3">
      <c r="A171" s="104" t="s">
        <v>18</v>
      </c>
      <c r="B171" s="50">
        <v>45143</v>
      </c>
      <c r="C171" s="45">
        <v>6.29</v>
      </c>
      <c r="D171" s="51">
        <f t="shared" ref="D171:D172" si="21">C171-1.17</f>
        <v>5.12</v>
      </c>
    </row>
    <row r="172" spans="1:4" s="9" customFormat="1" ht="12" customHeight="1" thickBot="1" x14ac:dyDescent="0.35">
      <c r="A172" s="105"/>
      <c r="B172" s="52">
        <v>45163</v>
      </c>
      <c r="C172" s="48">
        <v>5.13</v>
      </c>
      <c r="D172" s="49">
        <f t="shared" si="21"/>
        <v>3.96</v>
      </c>
    </row>
  </sheetData>
  <mergeCells count="48">
    <mergeCell ref="A146:A148"/>
    <mergeCell ref="A1:B1"/>
    <mergeCell ref="C1:D1"/>
    <mergeCell ref="A167:A168"/>
    <mergeCell ref="A162:A164"/>
    <mergeCell ref="A157:A159"/>
    <mergeCell ref="A153:A156"/>
    <mergeCell ref="A149:A152"/>
    <mergeCell ref="A89:A92"/>
    <mergeCell ref="A99:A101"/>
    <mergeCell ref="A143:A145"/>
    <mergeCell ref="A139:A142"/>
    <mergeCell ref="A136:A138"/>
    <mergeCell ref="A104:A107"/>
    <mergeCell ref="A132:A135"/>
    <mergeCell ref="A129:A131"/>
    <mergeCell ref="A125:A128"/>
    <mergeCell ref="A121:A124"/>
    <mergeCell ref="A117:A120"/>
    <mergeCell ref="A114:A116"/>
    <mergeCell ref="A112:A113"/>
    <mergeCell ref="A108:A111"/>
    <mergeCell ref="A85:A88"/>
    <mergeCell ref="A27:A30"/>
    <mergeCell ref="A18:A21"/>
    <mergeCell ref="A22:A26"/>
    <mergeCell ref="A77:A80"/>
    <mergeCell ref="A5:A8"/>
    <mergeCell ref="A9:A13"/>
    <mergeCell ref="A3:A4"/>
    <mergeCell ref="A14:A17"/>
    <mergeCell ref="A73:A76"/>
    <mergeCell ref="A171:A172"/>
    <mergeCell ref="A169:A170"/>
    <mergeCell ref="A31:A35"/>
    <mergeCell ref="A61:A64"/>
    <mergeCell ref="A57:A60"/>
    <mergeCell ref="A53:A56"/>
    <mergeCell ref="A36:A39"/>
    <mergeCell ref="A49:A52"/>
    <mergeCell ref="A40:A43"/>
    <mergeCell ref="A44:A48"/>
    <mergeCell ref="A65:A69"/>
    <mergeCell ref="A70:A72"/>
    <mergeCell ref="A102:A103"/>
    <mergeCell ref="A93:A96"/>
    <mergeCell ref="A81:A84"/>
    <mergeCell ref="A97:A98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0"/>
  <sheetViews>
    <sheetView workbookViewId="0">
      <pane xSplit="4" ySplit="2" topLeftCell="E24" activePane="bottomRight" state="frozenSplit"/>
      <selection pane="topRight" activeCell="H1" sqref="H1"/>
      <selection pane="bottomLeft" activeCell="A20" sqref="A20"/>
      <selection pane="bottomRight" activeCell="G10" sqref="G10"/>
    </sheetView>
  </sheetViews>
  <sheetFormatPr baseColWidth="10" defaultColWidth="9.1796875" defaultRowHeight="12" x14ac:dyDescent="0.3"/>
  <cols>
    <col min="1" max="1" width="11.1796875" style="2" customWidth="1"/>
    <col min="2" max="2" width="12.81640625" style="3" customWidth="1"/>
    <col min="3" max="3" width="24.26953125" style="3" customWidth="1"/>
    <col min="4" max="4" width="26.453125" style="3" customWidth="1"/>
    <col min="5" max="16384" width="9.1796875" style="2"/>
  </cols>
  <sheetData>
    <row r="1" spans="1:5" ht="15" customHeight="1" x14ac:dyDescent="0.3">
      <c r="A1" s="119" t="s">
        <v>50</v>
      </c>
      <c r="B1" s="119"/>
      <c r="C1" s="131" t="s">
        <v>51</v>
      </c>
      <c r="D1" s="131"/>
      <c r="E1" s="4" t="s">
        <v>4</v>
      </c>
    </row>
    <row r="2" spans="1:5" ht="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11" t="s">
        <v>3</v>
      </c>
      <c r="B3" s="29">
        <v>43653</v>
      </c>
      <c r="C3" s="17">
        <v>14.6</v>
      </c>
      <c r="D3" s="66">
        <f>C3-0.5</f>
        <v>14.1</v>
      </c>
    </row>
    <row r="4" spans="1:5" s="9" customFormat="1" ht="12" customHeight="1" x14ac:dyDescent="0.3">
      <c r="A4" s="112"/>
      <c r="B4" s="29">
        <v>43660</v>
      </c>
      <c r="C4" s="17">
        <v>14.13</v>
      </c>
      <c r="D4" s="66">
        <f t="shared" ref="D4:D19" si="0">C4-0.5</f>
        <v>13.63</v>
      </c>
    </row>
    <row r="5" spans="1:5" s="9" customFormat="1" ht="12" customHeight="1" x14ac:dyDescent="0.3">
      <c r="A5" s="112"/>
      <c r="B5" s="29">
        <v>43667</v>
      </c>
      <c r="C5" s="17">
        <v>14.29</v>
      </c>
      <c r="D5" s="66">
        <f t="shared" si="0"/>
        <v>13.79</v>
      </c>
    </row>
    <row r="6" spans="1:5" s="9" customFormat="1" ht="12" customHeight="1" x14ac:dyDescent="0.3">
      <c r="A6" s="113"/>
      <c r="B6" s="29">
        <v>43673</v>
      </c>
      <c r="C6" s="17">
        <v>13.73</v>
      </c>
      <c r="D6" s="66">
        <f t="shared" si="0"/>
        <v>13.23</v>
      </c>
    </row>
    <row r="7" spans="1:5" s="9" customFormat="1" ht="12" customHeight="1" x14ac:dyDescent="0.3">
      <c r="A7" s="107" t="s">
        <v>1</v>
      </c>
      <c r="B7" s="29">
        <v>43681</v>
      </c>
      <c r="C7" s="17">
        <v>13.12</v>
      </c>
      <c r="D7" s="66">
        <f t="shared" si="0"/>
        <v>12.62</v>
      </c>
    </row>
    <row r="8" spans="1:5" s="9" customFormat="1" ht="12" customHeight="1" x14ac:dyDescent="0.3">
      <c r="A8" s="107"/>
      <c r="B8" s="29">
        <v>43688</v>
      </c>
      <c r="C8" s="17">
        <v>12.69</v>
      </c>
      <c r="D8" s="66">
        <f t="shared" si="0"/>
        <v>12.19</v>
      </c>
    </row>
    <row r="9" spans="1:5" s="9" customFormat="1" ht="12" customHeight="1" x14ac:dyDescent="0.3">
      <c r="A9" s="107"/>
      <c r="B9" s="29">
        <v>43695</v>
      </c>
      <c r="C9" s="17">
        <v>12.93</v>
      </c>
      <c r="D9" s="66">
        <f t="shared" si="0"/>
        <v>12.43</v>
      </c>
    </row>
    <row r="10" spans="1:5" s="9" customFormat="1" ht="12" customHeight="1" x14ac:dyDescent="0.3">
      <c r="A10" s="107"/>
      <c r="B10" s="29">
        <v>43702</v>
      </c>
      <c r="C10" s="17">
        <v>12.95</v>
      </c>
      <c r="D10" s="66">
        <f t="shared" si="0"/>
        <v>12.45</v>
      </c>
    </row>
    <row r="11" spans="1:5" s="9" customFormat="1" ht="12" customHeight="1" x14ac:dyDescent="0.3">
      <c r="A11" s="107" t="s">
        <v>2</v>
      </c>
      <c r="B11" s="29">
        <v>43709</v>
      </c>
      <c r="C11" s="17">
        <v>13.05</v>
      </c>
      <c r="D11" s="66">
        <f t="shared" si="0"/>
        <v>12.55</v>
      </c>
    </row>
    <row r="12" spans="1:5" s="9" customFormat="1" ht="12" customHeight="1" x14ac:dyDescent="0.3">
      <c r="A12" s="107"/>
      <c r="B12" s="29">
        <v>43716</v>
      </c>
      <c r="C12" s="17">
        <v>12.1</v>
      </c>
      <c r="D12" s="66">
        <f t="shared" si="0"/>
        <v>11.6</v>
      </c>
    </row>
    <row r="13" spans="1:5" s="9" customFormat="1" ht="12" customHeight="1" x14ac:dyDescent="0.3">
      <c r="A13" s="107"/>
      <c r="B13" s="29">
        <v>43722</v>
      </c>
      <c r="C13" s="17">
        <v>12.9</v>
      </c>
      <c r="D13" s="66">
        <f t="shared" si="0"/>
        <v>12.4</v>
      </c>
    </row>
    <row r="14" spans="1:5" s="9" customFormat="1" ht="12" customHeight="1" x14ac:dyDescent="0.3">
      <c r="A14" s="107"/>
      <c r="B14" s="29">
        <v>43730</v>
      </c>
      <c r="C14" s="17">
        <v>11.39</v>
      </c>
      <c r="D14" s="66">
        <f t="shared" si="0"/>
        <v>10.89</v>
      </c>
    </row>
    <row r="15" spans="1:5" s="9" customFormat="1" ht="12" customHeight="1" x14ac:dyDescent="0.3">
      <c r="A15" s="107"/>
      <c r="B15" s="29">
        <v>43737</v>
      </c>
      <c r="C15" s="17">
        <v>11.54</v>
      </c>
      <c r="D15" s="66">
        <f t="shared" si="0"/>
        <v>11.04</v>
      </c>
    </row>
    <row r="16" spans="1:5" s="9" customFormat="1" ht="12" customHeight="1" x14ac:dyDescent="0.3">
      <c r="A16" s="107" t="s">
        <v>6</v>
      </c>
      <c r="B16" s="29">
        <v>43743</v>
      </c>
      <c r="C16" s="17">
        <v>11.45</v>
      </c>
      <c r="D16" s="66">
        <f t="shared" si="0"/>
        <v>10.95</v>
      </c>
    </row>
    <row r="17" spans="1:4" s="9" customFormat="1" ht="12" customHeight="1" x14ac:dyDescent="0.3">
      <c r="A17" s="107"/>
      <c r="B17" s="29">
        <v>43750</v>
      </c>
      <c r="C17" s="17">
        <v>12.34</v>
      </c>
      <c r="D17" s="66">
        <f t="shared" si="0"/>
        <v>11.84</v>
      </c>
    </row>
    <row r="18" spans="1:4" s="9" customFormat="1" ht="12" customHeight="1" x14ac:dyDescent="0.3">
      <c r="A18" s="107"/>
      <c r="B18" s="29">
        <v>43757</v>
      </c>
      <c r="C18" s="17">
        <v>11.35</v>
      </c>
      <c r="D18" s="66">
        <f t="shared" si="0"/>
        <v>10.85</v>
      </c>
    </row>
    <row r="19" spans="1:4" s="9" customFormat="1" ht="12" customHeight="1" x14ac:dyDescent="0.3">
      <c r="A19" s="107"/>
      <c r="B19" s="29">
        <v>43764</v>
      </c>
      <c r="C19" s="17">
        <v>12.6</v>
      </c>
      <c r="D19" s="66">
        <f t="shared" si="0"/>
        <v>12.1</v>
      </c>
    </row>
    <row r="20" spans="1:4" s="9" customFormat="1" ht="12" customHeight="1" x14ac:dyDescent="0.3">
      <c r="A20" s="111" t="s">
        <v>7</v>
      </c>
      <c r="B20" s="29">
        <v>43771</v>
      </c>
      <c r="C20" s="17">
        <v>12.81</v>
      </c>
      <c r="D20" s="66">
        <f t="shared" ref="D20:D24" si="1">C20-0.5</f>
        <v>12.31</v>
      </c>
    </row>
    <row r="21" spans="1:4" s="9" customFormat="1" ht="12" customHeight="1" x14ac:dyDescent="0.3">
      <c r="A21" s="112"/>
      <c r="B21" s="29">
        <v>43778</v>
      </c>
      <c r="C21" s="17">
        <v>13.12</v>
      </c>
      <c r="D21" s="66">
        <f t="shared" si="1"/>
        <v>12.62</v>
      </c>
    </row>
    <row r="22" spans="1:4" s="9" customFormat="1" ht="12" customHeight="1" x14ac:dyDescent="0.3">
      <c r="A22" s="112"/>
      <c r="B22" s="29">
        <v>43785</v>
      </c>
      <c r="C22" s="17">
        <v>13.44</v>
      </c>
      <c r="D22" s="66">
        <f t="shared" si="1"/>
        <v>12.94</v>
      </c>
    </row>
    <row r="23" spans="1:4" s="9" customFormat="1" ht="12" customHeight="1" x14ac:dyDescent="0.3">
      <c r="A23" s="112"/>
      <c r="B23" s="29">
        <v>43792</v>
      </c>
      <c r="C23" s="17">
        <v>13.75</v>
      </c>
      <c r="D23" s="66">
        <f t="shared" si="1"/>
        <v>13.25</v>
      </c>
    </row>
    <row r="24" spans="1:4" s="9" customFormat="1" ht="12" customHeight="1" x14ac:dyDescent="0.3">
      <c r="A24" s="113"/>
      <c r="B24" s="29">
        <v>43799</v>
      </c>
      <c r="C24" s="17">
        <v>14.22</v>
      </c>
      <c r="D24" s="66">
        <f t="shared" si="1"/>
        <v>13.72</v>
      </c>
    </row>
    <row r="25" spans="1:4" s="9" customFormat="1" ht="12" customHeight="1" x14ac:dyDescent="0.3">
      <c r="A25" s="111" t="s">
        <v>8</v>
      </c>
      <c r="B25" s="29">
        <v>43806</v>
      </c>
      <c r="C25" s="17">
        <v>14.51</v>
      </c>
      <c r="D25" s="66">
        <f>C25-0.5</f>
        <v>14.01</v>
      </c>
    </row>
    <row r="26" spans="1:4" s="9" customFormat="1" ht="12" customHeight="1" x14ac:dyDescent="0.3">
      <c r="A26" s="112"/>
      <c r="B26" s="29">
        <v>43813</v>
      </c>
      <c r="C26" s="17">
        <v>14.51</v>
      </c>
      <c r="D26" s="66">
        <f t="shared" ref="D26:D30" si="2">C26-0.5</f>
        <v>14.01</v>
      </c>
    </row>
    <row r="27" spans="1:4" s="9" customFormat="1" ht="12" customHeight="1" x14ac:dyDescent="0.3">
      <c r="A27" s="112"/>
      <c r="B27" s="29">
        <v>43820</v>
      </c>
      <c r="C27" s="17">
        <v>14.98</v>
      </c>
      <c r="D27" s="66">
        <f t="shared" si="2"/>
        <v>14.48</v>
      </c>
    </row>
    <row r="28" spans="1:4" s="9" customFormat="1" ht="12" customHeight="1" x14ac:dyDescent="0.3">
      <c r="A28" s="113"/>
      <c r="B28" s="29">
        <v>43827</v>
      </c>
      <c r="C28" s="17">
        <v>15.29</v>
      </c>
      <c r="D28" s="66">
        <f t="shared" si="2"/>
        <v>14.79</v>
      </c>
    </row>
    <row r="29" spans="1:4" s="9" customFormat="1" ht="12" customHeight="1" x14ac:dyDescent="0.3">
      <c r="A29" s="107" t="s">
        <v>10</v>
      </c>
      <c r="B29" s="29">
        <v>43834</v>
      </c>
      <c r="C29" s="17">
        <v>15.43</v>
      </c>
      <c r="D29" s="17">
        <f t="shared" si="2"/>
        <v>14.93</v>
      </c>
    </row>
    <row r="30" spans="1:4" s="9" customFormat="1" ht="12" customHeight="1" x14ac:dyDescent="0.3">
      <c r="A30" s="107"/>
      <c r="B30" s="29">
        <v>43841</v>
      </c>
      <c r="C30" s="17">
        <v>15.47</v>
      </c>
      <c r="D30" s="17">
        <f t="shared" si="2"/>
        <v>14.97</v>
      </c>
    </row>
    <row r="31" spans="1:4" s="9" customFormat="1" ht="12" customHeight="1" x14ac:dyDescent="0.3">
      <c r="A31" s="107"/>
      <c r="B31" s="29">
        <v>43848</v>
      </c>
      <c r="C31" s="17">
        <v>15.76</v>
      </c>
      <c r="D31" s="17">
        <f t="shared" ref="D31:D38" si="3">C31-0.5</f>
        <v>15.26</v>
      </c>
    </row>
    <row r="32" spans="1:4" s="9" customFormat="1" ht="12" customHeight="1" x14ac:dyDescent="0.3">
      <c r="A32" s="107"/>
      <c r="B32" s="29">
        <v>43855</v>
      </c>
      <c r="C32" s="17">
        <v>15.93</v>
      </c>
      <c r="D32" s="17">
        <f t="shared" si="3"/>
        <v>15.43</v>
      </c>
    </row>
    <row r="33" spans="1:4" s="9" customFormat="1" ht="12" customHeight="1" x14ac:dyDescent="0.3">
      <c r="A33" s="107" t="s">
        <v>12</v>
      </c>
      <c r="B33" s="29">
        <v>43862</v>
      </c>
      <c r="C33" s="17">
        <v>16.079999999999998</v>
      </c>
      <c r="D33" s="17">
        <f t="shared" si="3"/>
        <v>15.579999999999998</v>
      </c>
    </row>
    <row r="34" spans="1:4" s="9" customFormat="1" ht="12" customHeight="1" x14ac:dyDescent="0.3">
      <c r="A34" s="107"/>
      <c r="B34" s="29">
        <v>43869</v>
      </c>
      <c r="C34" s="17">
        <v>16.23</v>
      </c>
      <c r="D34" s="17">
        <f t="shared" si="3"/>
        <v>15.73</v>
      </c>
    </row>
    <row r="35" spans="1:4" s="9" customFormat="1" ht="12" customHeight="1" x14ac:dyDescent="0.3">
      <c r="A35" s="107"/>
      <c r="B35" s="29">
        <v>43876</v>
      </c>
      <c r="C35" s="17">
        <v>16.34</v>
      </c>
      <c r="D35" s="17">
        <f t="shared" si="3"/>
        <v>15.84</v>
      </c>
    </row>
    <row r="36" spans="1:4" s="9" customFormat="1" ht="12" customHeight="1" x14ac:dyDescent="0.3">
      <c r="A36" s="107"/>
      <c r="B36" s="29">
        <v>43883</v>
      </c>
      <c r="C36" s="17">
        <v>16.52</v>
      </c>
      <c r="D36" s="17">
        <f t="shared" si="3"/>
        <v>16.02</v>
      </c>
    </row>
    <row r="37" spans="1:4" s="9" customFormat="1" ht="12" customHeight="1" x14ac:dyDescent="0.3">
      <c r="A37" s="107"/>
      <c r="B37" s="29">
        <v>43890</v>
      </c>
      <c r="C37" s="17">
        <v>16.66</v>
      </c>
      <c r="D37" s="17">
        <f t="shared" si="3"/>
        <v>16.16</v>
      </c>
    </row>
    <row r="38" spans="1:4" s="9" customFormat="1" ht="12" customHeight="1" x14ac:dyDescent="0.3">
      <c r="A38" s="107" t="s">
        <v>13</v>
      </c>
      <c r="B38" s="29">
        <v>43897</v>
      </c>
      <c r="C38" s="17">
        <v>16.8</v>
      </c>
      <c r="D38" s="17">
        <f t="shared" si="3"/>
        <v>16.3</v>
      </c>
    </row>
    <row r="39" spans="1:4" s="9" customFormat="1" ht="12" customHeight="1" x14ac:dyDescent="0.3">
      <c r="A39" s="107"/>
      <c r="B39" s="29">
        <v>43904</v>
      </c>
      <c r="C39" s="17">
        <v>16.89</v>
      </c>
      <c r="D39" s="17">
        <f t="shared" ref="D39:D50" si="4">C39-0.5</f>
        <v>16.39</v>
      </c>
    </row>
    <row r="40" spans="1:4" s="9" customFormat="1" ht="12" customHeight="1" x14ac:dyDescent="0.3">
      <c r="A40" s="107"/>
      <c r="B40" s="29">
        <v>43911</v>
      </c>
      <c r="C40" s="17">
        <v>17.03</v>
      </c>
      <c r="D40" s="17">
        <f t="shared" si="4"/>
        <v>16.53</v>
      </c>
    </row>
    <row r="41" spans="1:4" s="9" customFormat="1" ht="12" customHeight="1" x14ac:dyDescent="0.3">
      <c r="A41" s="107"/>
      <c r="B41" s="29">
        <v>43918</v>
      </c>
      <c r="C41" s="17">
        <v>17.27</v>
      </c>
      <c r="D41" s="17">
        <f t="shared" si="4"/>
        <v>16.77</v>
      </c>
    </row>
    <row r="42" spans="1:4" s="9" customFormat="1" ht="12" customHeight="1" x14ac:dyDescent="0.3">
      <c r="A42" s="107" t="s">
        <v>14</v>
      </c>
      <c r="B42" s="29">
        <v>43925</v>
      </c>
      <c r="C42" s="17">
        <v>17.04</v>
      </c>
      <c r="D42" s="17">
        <f t="shared" si="4"/>
        <v>16.54</v>
      </c>
    </row>
    <row r="43" spans="1:4" s="9" customFormat="1" ht="12" customHeight="1" x14ac:dyDescent="0.3">
      <c r="A43" s="107"/>
      <c r="B43" s="29">
        <v>43932</v>
      </c>
      <c r="C43" s="17">
        <v>17.3</v>
      </c>
      <c r="D43" s="17">
        <f t="shared" si="4"/>
        <v>16.8</v>
      </c>
    </row>
    <row r="44" spans="1:4" s="9" customFormat="1" ht="12" customHeight="1" x14ac:dyDescent="0.3">
      <c r="A44" s="107"/>
      <c r="B44" s="29">
        <v>43939</v>
      </c>
      <c r="C44" s="17">
        <v>17.45</v>
      </c>
      <c r="D44" s="17">
        <f t="shared" si="4"/>
        <v>16.95</v>
      </c>
    </row>
    <row r="45" spans="1:4" s="9" customFormat="1" ht="12" customHeight="1" x14ac:dyDescent="0.3">
      <c r="A45" s="107"/>
      <c r="B45" s="29">
        <v>43946</v>
      </c>
      <c r="C45" s="17">
        <v>17.55</v>
      </c>
      <c r="D45" s="17">
        <f t="shared" si="4"/>
        <v>17.05</v>
      </c>
    </row>
    <row r="46" spans="1:4" s="9" customFormat="1" ht="12" customHeight="1" x14ac:dyDescent="0.3">
      <c r="A46" s="107" t="s">
        <v>15</v>
      </c>
      <c r="B46" s="29">
        <v>43953</v>
      </c>
      <c r="C46" s="17">
        <v>17.52</v>
      </c>
      <c r="D46" s="17">
        <f t="shared" si="4"/>
        <v>17.02</v>
      </c>
    </row>
    <row r="47" spans="1:4" s="9" customFormat="1" ht="12" customHeight="1" x14ac:dyDescent="0.3">
      <c r="A47" s="107"/>
      <c r="B47" s="29">
        <v>43960</v>
      </c>
      <c r="C47" s="17">
        <v>17.739999999999998</v>
      </c>
      <c r="D47" s="17">
        <f t="shared" si="4"/>
        <v>17.239999999999998</v>
      </c>
    </row>
    <row r="48" spans="1:4" s="9" customFormat="1" ht="12" customHeight="1" x14ac:dyDescent="0.3">
      <c r="A48" s="107"/>
      <c r="B48" s="29">
        <v>43967</v>
      </c>
      <c r="C48" s="17">
        <v>17.690000000000001</v>
      </c>
      <c r="D48" s="17">
        <f t="shared" si="4"/>
        <v>17.190000000000001</v>
      </c>
    </row>
    <row r="49" spans="1:4" s="9" customFormat="1" ht="12" customHeight="1" x14ac:dyDescent="0.3">
      <c r="A49" s="107"/>
      <c r="B49" s="29">
        <v>43974</v>
      </c>
      <c r="C49" s="17">
        <v>17.77</v>
      </c>
      <c r="D49" s="17">
        <f t="shared" si="4"/>
        <v>17.27</v>
      </c>
    </row>
    <row r="50" spans="1:4" s="9" customFormat="1" ht="12" customHeight="1" x14ac:dyDescent="0.3">
      <c r="A50" s="107"/>
      <c r="B50" s="29">
        <v>43981</v>
      </c>
      <c r="C50" s="17">
        <v>17.82</v>
      </c>
      <c r="D50" s="17">
        <f t="shared" si="4"/>
        <v>17.32</v>
      </c>
    </row>
    <row r="51" spans="1:4" s="9" customFormat="1" ht="12" customHeight="1" x14ac:dyDescent="0.3">
      <c r="A51" s="107" t="s">
        <v>16</v>
      </c>
      <c r="B51" s="29">
        <v>43988</v>
      </c>
      <c r="C51" s="17">
        <v>18.02</v>
      </c>
      <c r="D51" s="17">
        <f t="shared" ref="D51:D62" si="5">C51-0.5</f>
        <v>17.52</v>
      </c>
    </row>
    <row r="52" spans="1:4" s="9" customFormat="1" ht="12" customHeight="1" x14ac:dyDescent="0.3">
      <c r="A52" s="107"/>
      <c r="B52" s="29">
        <v>43995</v>
      </c>
      <c r="C52" s="17">
        <v>17.940000000000001</v>
      </c>
      <c r="D52" s="17">
        <f t="shared" si="5"/>
        <v>17.440000000000001</v>
      </c>
    </row>
    <row r="53" spans="1:4" s="9" customFormat="1" ht="12" customHeight="1" x14ac:dyDescent="0.3">
      <c r="A53" s="107"/>
      <c r="B53" s="29">
        <v>44002</v>
      </c>
      <c r="C53" s="17">
        <v>18.170000000000002</v>
      </c>
      <c r="D53" s="17">
        <f t="shared" si="5"/>
        <v>17.670000000000002</v>
      </c>
    </row>
    <row r="54" spans="1:4" s="9" customFormat="1" ht="12" customHeight="1" x14ac:dyDescent="0.3">
      <c r="A54" s="107"/>
      <c r="B54" s="29">
        <v>44009</v>
      </c>
      <c r="C54" s="17">
        <v>18.22</v>
      </c>
      <c r="D54" s="17">
        <f t="shared" si="5"/>
        <v>17.72</v>
      </c>
    </row>
    <row r="55" spans="1:4" s="9" customFormat="1" ht="12" customHeight="1" x14ac:dyDescent="0.3">
      <c r="A55" s="107" t="s">
        <v>17</v>
      </c>
      <c r="B55" s="29">
        <v>44016</v>
      </c>
      <c r="C55" s="17">
        <v>18.12</v>
      </c>
      <c r="D55" s="17">
        <f t="shared" si="5"/>
        <v>17.62</v>
      </c>
    </row>
    <row r="56" spans="1:4" s="9" customFormat="1" ht="12" customHeight="1" x14ac:dyDescent="0.3">
      <c r="A56" s="107"/>
      <c r="B56" s="29">
        <v>44023</v>
      </c>
      <c r="C56" s="17">
        <v>17.899999999999999</v>
      </c>
      <c r="D56" s="17">
        <f t="shared" si="5"/>
        <v>17.399999999999999</v>
      </c>
    </row>
    <row r="57" spans="1:4" s="9" customFormat="1" ht="12" customHeight="1" x14ac:dyDescent="0.3">
      <c r="A57" s="107"/>
      <c r="B57" s="29">
        <v>44030</v>
      </c>
      <c r="C57" s="17">
        <v>18.37</v>
      </c>
      <c r="D57" s="17">
        <f t="shared" si="5"/>
        <v>17.87</v>
      </c>
    </row>
    <row r="58" spans="1:4" s="9" customFormat="1" ht="12" customHeight="1" x14ac:dyDescent="0.3">
      <c r="A58" s="107"/>
      <c r="B58" s="29">
        <v>44037</v>
      </c>
      <c r="C58" s="17">
        <v>18.37</v>
      </c>
      <c r="D58" s="17">
        <f t="shared" si="5"/>
        <v>17.87</v>
      </c>
    </row>
    <row r="59" spans="1:4" s="9" customFormat="1" ht="12" customHeight="1" x14ac:dyDescent="0.3">
      <c r="A59" s="112"/>
      <c r="B59" s="29">
        <v>44051</v>
      </c>
      <c r="C59" s="17">
        <v>17.98</v>
      </c>
      <c r="D59" s="17">
        <f t="shared" si="5"/>
        <v>17.48</v>
      </c>
    </row>
    <row r="60" spans="1:4" s="9" customFormat="1" ht="12" customHeight="1" x14ac:dyDescent="0.3">
      <c r="A60" s="112"/>
      <c r="B60" s="29">
        <v>44058</v>
      </c>
      <c r="C60" s="17">
        <v>17.39</v>
      </c>
      <c r="D60" s="17">
        <f t="shared" si="5"/>
        <v>16.89</v>
      </c>
    </row>
    <row r="61" spans="1:4" s="9" customFormat="1" ht="12" customHeight="1" x14ac:dyDescent="0.3">
      <c r="A61" s="112"/>
      <c r="B61" s="29">
        <v>44065</v>
      </c>
      <c r="C61" s="17">
        <v>17.399999999999999</v>
      </c>
      <c r="D61" s="17">
        <f t="shared" si="5"/>
        <v>16.899999999999999</v>
      </c>
    </row>
    <row r="62" spans="1:4" s="9" customFormat="1" ht="12" customHeight="1" x14ac:dyDescent="0.3">
      <c r="A62" s="113"/>
      <c r="B62" s="29">
        <v>44072</v>
      </c>
      <c r="C62" s="17">
        <v>16.600000000000001</v>
      </c>
      <c r="D62" s="17">
        <f t="shared" si="5"/>
        <v>16.100000000000001</v>
      </c>
    </row>
    <row r="63" spans="1:4" s="9" customFormat="1" ht="12" customHeight="1" x14ac:dyDescent="0.3">
      <c r="A63" s="107" t="s">
        <v>2</v>
      </c>
      <c r="B63" s="29">
        <v>44079</v>
      </c>
      <c r="C63" s="17">
        <v>13.92</v>
      </c>
      <c r="D63" s="17">
        <f t="shared" ref="D63:D71" si="6">C63-0.5</f>
        <v>13.42</v>
      </c>
    </row>
    <row r="64" spans="1:4" s="9" customFormat="1" ht="12" customHeight="1" x14ac:dyDescent="0.3">
      <c r="A64" s="107"/>
      <c r="B64" s="29">
        <v>44086</v>
      </c>
      <c r="C64" s="17">
        <v>13.4</v>
      </c>
      <c r="D64" s="17">
        <f t="shared" si="6"/>
        <v>12.9</v>
      </c>
    </row>
    <row r="65" spans="1:4" s="9" customFormat="1" ht="12" customHeight="1" x14ac:dyDescent="0.3">
      <c r="A65" s="107"/>
      <c r="B65" s="29">
        <v>44093</v>
      </c>
      <c r="C65" s="17">
        <v>13.29</v>
      </c>
      <c r="D65" s="17">
        <f t="shared" si="6"/>
        <v>12.79</v>
      </c>
    </row>
    <row r="66" spans="1:4" s="9" customFormat="1" ht="12" customHeight="1" x14ac:dyDescent="0.3">
      <c r="A66" s="107"/>
      <c r="B66" s="29">
        <v>44100</v>
      </c>
      <c r="C66" s="17">
        <v>13.32</v>
      </c>
      <c r="D66" s="17">
        <f t="shared" si="6"/>
        <v>12.82</v>
      </c>
    </row>
    <row r="67" spans="1:4" s="9" customFormat="1" ht="12" customHeight="1" x14ac:dyDescent="0.3">
      <c r="A67" s="107" t="s">
        <v>6</v>
      </c>
      <c r="B67" s="29">
        <v>44107</v>
      </c>
      <c r="C67" s="17">
        <v>13.33</v>
      </c>
      <c r="D67" s="17">
        <f t="shared" si="6"/>
        <v>12.83</v>
      </c>
    </row>
    <row r="68" spans="1:4" s="9" customFormat="1" ht="12" customHeight="1" x14ac:dyDescent="0.3">
      <c r="A68" s="107"/>
      <c r="B68" s="29">
        <v>44114</v>
      </c>
      <c r="C68" s="17">
        <v>13.5</v>
      </c>
      <c r="D68" s="17">
        <f t="shared" si="6"/>
        <v>13</v>
      </c>
    </row>
    <row r="69" spans="1:4" s="9" customFormat="1" ht="12" customHeight="1" x14ac:dyDescent="0.3">
      <c r="A69" s="107"/>
      <c r="B69" s="29">
        <v>44121</v>
      </c>
      <c r="C69" s="17">
        <v>13.51</v>
      </c>
      <c r="D69" s="17">
        <f t="shared" si="6"/>
        <v>13.01</v>
      </c>
    </row>
    <row r="70" spans="1:4" s="9" customFormat="1" ht="12" customHeight="1" x14ac:dyDescent="0.3">
      <c r="A70" s="107"/>
      <c r="B70" s="29">
        <v>44128</v>
      </c>
      <c r="C70" s="17">
        <v>13.58</v>
      </c>
      <c r="D70" s="17">
        <f t="shared" si="6"/>
        <v>13.08</v>
      </c>
    </row>
    <row r="71" spans="1:4" s="9" customFormat="1" ht="12" customHeight="1" x14ac:dyDescent="0.3">
      <c r="A71" s="107"/>
      <c r="B71" s="29">
        <v>44135</v>
      </c>
      <c r="C71" s="17">
        <v>13.4</v>
      </c>
      <c r="D71" s="17">
        <f t="shared" si="6"/>
        <v>12.9</v>
      </c>
    </row>
    <row r="72" spans="1:4" s="9" customFormat="1" ht="12" customHeight="1" x14ac:dyDescent="0.3">
      <c r="A72" s="107" t="s">
        <v>7</v>
      </c>
      <c r="B72" s="29">
        <v>44142</v>
      </c>
      <c r="C72" s="17">
        <v>13.63</v>
      </c>
      <c r="D72" s="17">
        <f t="shared" ref="D72:D78" si="7">C72-0.5</f>
        <v>13.13</v>
      </c>
    </row>
    <row r="73" spans="1:4" s="9" customFormat="1" ht="12" customHeight="1" x14ac:dyDescent="0.3">
      <c r="A73" s="107"/>
      <c r="B73" s="29">
        <v>44156</v>
      </c>
      <c r="C73" s="17">
        <v>14.07</v>
      </c>
      <c r="D73" s="17">
        <f t="shared" si="7"/>
        <v>13.57</v>
      </c>
    </row>
    <row r="74" spans="1:4" s="9" customFormat="1" ht="12" customHeight="1" x14ac:dyDescent="0.3">
      <c r="A74" s="107"/>
      <c r="B74" s="29">
        <v>44163</v>
      </c>
      <c r="C74" s="17">
        <v>14.32</v>
      </c>
      <c r="D74" s="17">
        <f t="shared" si="7"/>
        <v>13.82</v>
      </c>
    </row>
    <row r="75" spans="1:4" s="9" customFormat="1" ht="12" customHeight="1" x14ac:dyDescent="0.3">
      <c r="A75" s="107" t="s">
        <v>19</v>
      </c>
      <c r="B75" s="29">
        <v>44170</v>
      </c>
      <c r="C75" s="17">
        <v>14.67</v>
      </c>
      <c r="D75" s="17">
        <f t="shared" si="7"/>
        <v>14.17</v>
      </c>
    </row>
    <row r="76" spans="1:4" s="9" customFormat="1" ht="12" customHeight="1" x14ac:dyDescent="0.3">
      <c r="A76" s="107"/>
      <c r="B76" s="29">
        <v>44177</v>
      </c>
      <c r="C76" s="17">
        <v>14.81</v>
      </c>
      <c r="D76" s="17">
        <f t="shared" si="7"/>
        <v>14.31</v>
      </c>
    </row>
    <row r="77" spans="1:4" s="9" customFormat="1" ht="12" customHeight="1" x14ac:dyDescent="0.3">
      <c r="A77" s="107"/>
      <c r="B77" s="29">
        <v>44184</v>
      </c>
      <c r="C77" s="17">
        <v>15</v>
      </c>
      <c r="D77" s="17">
        <f t="shared" si="7"/>
        <v>14.5</v>
      </c>
    </row>
    <row r="78" spans="1:4" s="9" customFormat="1" ht="12" customHeight="1" x14ac:dyDescent="0.3">
      <c r="A78" s="107"/>
      <c r="B78" s="29">
        <v>44191</v>
      </c>
      <c r="C78" s="17">
        <v>15.3</v>
      </c>
      <c r="D78" s="17">
        <f t="shared" si="7"/>
        <v>14.8</v>
      </c>
    </row>
    <row r="79" spans="1:4" s="9" customFormat="1" ht="12" customHeight="1" x14ac:dyDescent="0.3">
      <c r="A79" s="107" t="s">
        <v>10</v>
      </c>
      <c r="B79" s="29">
        <v>44198</v>
      </c>
      <c r="C79" s="17">
        <v>15.54</v>
      </c>
      <c r="D79" s="17">
        <f t="shared" ref="D79:D90" si="8">C79-0.5</f>
        <v>15.04</v>
      </c>
    </row>
    <row r="80" spans="1:4" s="9" customFormat="1" ht="12" customHeight="1" x14ac:dyDescent="0.3">
      <c r="A80" s="107"/>
      <c r="B80" s="29">
        <v>44205</v>
      </c>
      <c r="C80" s="17">
        <v>15.6</v>
      </c>
      <c r="D80" s="17">
        <f t="shared" si="8"/>
        <v>15.1</v>
      </c>
    </row>
    <row r="81" spans="1:4" s="9" customFormat="1" ht="12" customHeight="1" x14ac:dyDescent="0.3">
      <c r="A81" s="107"/>
      <c r="B81" s="29">
        <v>44219</v>
      </c>
      <c r="C81" s="17">
        <v>16.190000000000001</v>
      </c>
      <c r="D81" s="17">
        <f t="shared" ref="D81" si="9">C81-0.5</f>
        <v>15.690000000000001</v>
      </c>
    </row>
    <row r="82" spans="1:4" s="9" customFormat="1" ht="12" customHeight="1" x14ac:dyDescent="0.3">
      <c r="A82" s="107"/>
      <c r="B82" s="29">
        <v>44226</v>
      </c>
      <c r="C82" s="17">
        <v>16.5</v>
      </c>
      <c r="D82" s="17">
        <f t="shared" si="8"/>
        <v>16</v>
      </c>
    </row>
    <row r="83" spans="1:4" s="9" customFormat="1" ht="12" customHeight="1" x14ac:dyDescent="0.3">
      <c r="A83" s="107" t="s">
        <v>11</v>
      </c>
      <c r="B83" s="29">
        <v>44233</v>
      </c>
      <c r="C83" s="17">
        <v>16.53</v>
      </c>
      <c r="D83" s="17">
        <f t="shared" si="8"/>
        <v>16.03</v>
      </c>
    </row>
    <row r="84" spans="1:4" s="9" customFormat="1" ht="12" customHeight="1" x14ac:dyDescent="0.3">
      <c r="A84" s="107"/>
      <c r="B84" s="29">
        <v>44240</v>
      </c>
      <c r="C84" s="17">
        <v>16.82</v>
      </c>
      <c r="D84" s="17">
        <f t="shared" si="8"/>
        <v>16.32</v>
      </c>
    </row>
    <row r="85" spans="1:4" s="9" customFormat="1" ht="12" customHeight="1" x14ac:dyDescent="0.3">
      <c r="A85" s="107"/>
      <c r="B85" s="29">
        <v>44247</v>
      </c>
      <c r="C85" s="17">
        <v>17.04</v>
      </c>
      <c r="D85" s="17">
        <f t="shared" si="8"/>
        <v>16.54</v>
      </c>
    </row>
    <row r="86" spans="1:4" s="9" customFormat="1" ht="12" customHeight="1" x14ac:dyDescent="0.3">
      <c r="A86" s="107"/>
      <c r="B86" s="29">
        <v>44254</v>
      </c>
      <c r="C86" s="17">
        <v>17.22</v>
      </c>
      <c r="D86" s="17">
        <f t="shared" si="8"/>
        <v>16.72</v>
      </c>
    </row>
    <row r="87" spans="1:4" s="9" customFormat="1" ht="12" customHeight="1" x14ac:dyDescent="0.3">
      <c r="A87" s="107" t="s">
        <v>13</v>
      </c>
      <c r="B87" s="29">
        <v>44262</v>
      </c>
      <c r="C87" s="17">
        <v>17.399999999999999</v>
      </c>
      <c r="D87" s="17">
        <f t="shared" si="8"/>
        <v>16.899999999999999</v>
      </c>
    </row>
    <row r="88" spans="1:4" s="9" customFormat="1" ht="12" customHeight="1" x14ac:dyDescent="0.3">
      <c r="A88" s="107"/>
      <c r="B88" s="29">
        <v>44269</v>
      </c>
      <c r="C88" s="17">
        <v>17.510000000000002</v>
      </c>
      <c r="D88" s="17">
        <f t="shared" si="8"/>
        <v>17.010000000000002</v>
      </c>
    </row>
    <row r="89" spans="1:4" s="9" customFormat="1" ht="12" customHeight="1" x14ac:dyDescent="0.3">
      <c r="A89" s="107"/>
      <c r="B89" s="29">
        <v>44276</v>
      </c>
      <c r="C89" s="17">
        <v>17.739999999999998</v>
      </c>
      <c r="D89" s="17">
        <f t="shared" si="8"/>
        <v>17.239999999999998</v>
      </c>
    </row>
    <row r="90" spans="1:4" s="9" customFormat="1" ht="12" customHeight="1" x14ac:dyDescent="0.3">
      <c r="A90" s="107"/>
      <c r="B90" s="29">
        <v>44282</v>
      </c>
      <c r="C90" s="17">
        <v>17.739999999999998</v>
      </c>
      <c r="D90" s="17">
        <f t="shared" si="8"/>
        <v>17.239999999999998</v>
      </c>
    </row>
    <row r="91" spans="1:4" s="9" customFormat="1" ht="12" customHeight="1" x14ac:dyDescent="0.3">
      <c r="A91" s="107" t="s">
        <v>23</v>
      </c>
      <c r="B91" s="29">
        <v>44290</v>
      </c>
      <c r="C91" s="17">
        <f>17.85-0.5</f>
        <v>17.350000000000001</v>
      </c>
      <c r="D91" s="17">
        <v>0</v>
      </c>
    </row>
    <row r="92" spans="1:4" s="9" customFormat="1" ht="12" customHeight="1" x14ac:dyDescent="0.3">
      <c r="A92" s="107"/>
      <c r="B92" s="29">
        <v>44296</v>
      </c>
      <c r="C92" s="17">
        <f t="shared" ref="C92:C102" si="10">17.85-0.5</f>
        <v>17.350000000000001</v>
      </c>
      <c r="D92" s="17">
        <v>0</v>
      </c>
    </row>
    <row r="93" spans="1:4" s="9" customFormat="1" ht="12" customHeight="1" x14ac:dyDescent="0.3">
      <c r="A93" s="107"/>
      <c r="B93" s="29">
        <v>44303</v>
      </c>
      <c r="C93" s="17">
        <f t="shared" si="10"/>
        <v>17.350000000000001</v>
      </c>
      <c r="D93" s="17">
        <v>0</v>
      </c>
    </row>
    <row r="94" spans="1:4" s="9" customFormat="1" ht="12" customHeight="1" x14ac:dyDescent="0.3">
      <c r="A94" s="107"/>
      <c r="B94" s="29">
        <v>44310</v>
      </c>
      <c r="C94" s="17">
        <f t="shared" si="10"/>
        <v>17.350000000000001</v>
      </c>
      <c r="D94" s="17">
        <v>0</v>
      </c>
    </row>
    <row r="95" spans="1:4" s="9" customFormat="1" ht="12" customHeight="1" x14ac:dyDescent="0.3">
      <c r="A95" s="107" t="s">
        <v>15</v>
      </c>
      <c r="B95" s="29">
        <v>44317</v>
      </c>
      <c r="C95" s="17">
        <f t="shared" si="10"/>
        <v>17.350000000000001</v>
      </c>
      <c r="D95" s="17">
        <v>0</v>
      </c>
    </row>
    <row r="96" spans="1:4" s="9" customFormat="1" ht="12" customHeight="1" x14ac:dyDescent="0.3">
      <c r="A96" s="107"/>
      <c r="B96" s="29">
        <v>44325</v>
      </c>
      <c r="C96" s="17">
        <f t="shared" si="10"/>
        <v>17.350000000000001</v>
      </c>
      <c r="D96" s="17">
        <v>0</v>
      </c>
    </row>
    <row r="97" spans="1:4" s="9" customFormat="1" ht="12" customHeight="1" x14ac:dyDescent="0.3">
      <c r="A97" s="107"/>
      <c r="B97" s="29">
        <v>44331</v>
      </c>
      <c r="C97" s="17">
        <f t="shared" si="10"/>
        <v>17.350000000000001</v>
      </c>
      <c r="D97" s="17">
        <v>0</v>
      </c>
    </row>
    <row r="98" spans="1:4" s="9" customFormat="1" ht="12" customHeight="1" x14ac:dyDescent="0.3">
      <c r="A98" s="107"/>
      <c r="B98" s="29">
        <v>44338</v>
      </c>
      <c r="C98" s="17">
        <f t="shared" si="10"/>
        <v>17.350000000000001</v>
      </c>
      <c r="D98" s="17">
        <v>0</v>
      </c>
    </row>
    <row r="99" spans="1:4" s="9" customFormat="1" ht="12" customHeight="1" x14ac:dyDescent="0.3">
      <c r="A99" s="107"/>
      <c r="B99" s="29">
        <v>44346</v>
      </c>
      <c r="C99" s="17">
        <f t="shared" si="10"/>
        <v>17.350000000000001</v>
      </c>
      <c r="D99" s="17">
        <v>0</v>
      </c>
    </row>
    <row r="100" spans="1:4" s="9" customFormat="1" ht="12" customHeight="1" x14ac:dyDescent="0.3">
      <c r="A100" s="111" t="s">
        <v>16</v>
      </c>
      <c r="B100" s="29">
        <v>44352</v>
      </c>
      <c r="C100" s="17">
        <f t="shared" si="10"/>
        <v>17.350000000000001</v>
      </c>
      <c r="D100" s="17">
        <v>0</v>
      </c>
    </row>
    <row r="101" spans="1:4" s="9" customFormat="1" ht="12" customHeight="1" x14ac:dyDescent="0.3">
      <c r="A101" s="112"/>
      <c r="B101" s="29">
        <v>44359</v>
      </c>
      <c r="C101" s="17">
        <f t="shared" si="10"/>
        <v>17.350000000000001</v>
      </c>
      <c r="D101" s="17">
        <v>0</v>
      </c>
    </row>
    <row r="102" spans="1:4" s="9" customFormat="1" ht="12" customHeight="1" x14ac:dyDescent="0.3">
      <c r="A102" s="112"/>
      <c r="B102" s="29">
        <v>44366</v>
      </c>
      <c r="C102" s="17">
        <f t="shared" si="10"/>
        <v>17.350000000000001</v>
      </c>
      <c r="D102" s="17">
        <v>0</v>
      </c>
    </row>
    <row r="103" spans="1:4" s="9" customFormat="1" ht="12" customHeight="1" x14ac:dyDescent="0.3">
      <c r="A103" s="107" t="s">
        <v>17</v>
      </c>
      <c r="B103" s="29">
        <v>44380</v>
      </c>
      <c r="C103" s="17">
        <f t="shared" ref="C103:C105" si="11">17.85-0.5</f>
        <v>17.350000000000001</v>
      </c>
      <c r="D103" s="17">
        <v>0</v>
      </c>
    </row>
    <row r="104" spans="1:4" s="9" customFormat="1" ht="12" customHeight="1" x14ac:dyDescent="0.3">
      <c r="A104" s="107"/>
      <c r="B104" s="29">
        <v>44387</v>
      </c>
      <c r="C104" s="17">
        <f t="shared" si="11"/>
        <v>17.350000000000001</v>
      </c>
      <c r="D104" s="17">
        <v>0</v>
      </c>
    </row>
    <row r="105" spans="1:4" s="9" customFormat="1" ht="12" customHeight="1" x14ac:dyDescent="0.3">
      <c r="A105" s="107"/>
      <c r="B105" s="29">
        <v>44395</v>
      </c>
      <c r="C105" s="17">
        <f t="shared" si="11"/>
        <v>17.350000000000001</v>
      </c>
      <c r="D105" s="17">
        <v>0</v>
      </c>
    </row>
    <row r="106" spans="1:4" s="9" customFormat="1" ht="12" customHeight="1" x14ac:dyDescent="0.3">
      <c r="A106" s="107"/>
      <c r="B106" s="29">
        <v>44408</v>
      </c>
      <c r="C106" s="17">
        <f>17.85-0.5</f>
        <v>17.350000000000001</v>
      </c>
      <c r="D106" s="17">
        <v>0</v>
      </c>
    </row>
    <row r="107" spans="1:4" s="9" customFormat="1" ht="12" customHeight="1" x14ac:dyDescent="0.3">
      <c r="A107" s="114" t="s">
        <v>18</v>
      </c>
      <c r="B107" s="24">
        <v>44415</v>
      </c>
      <c r="C107" s="17">
        <v>17.600000000000001</v>
      </c>
      <c r="D107" s="17">
        <f>C107-0.5</f>
        <v>17.100000000000001</v>
      </c>
    </row>
    <row r="108" spans="1:4" s="9" customFormat="1" ht="12" customHeight="1" x14ac:dyDescent="0.3">
      <c r="A108" s="114"/>
      <c r="B108" s="24">
        <v>44429</v>
      </c>
      <c r="C108" s="17">
        <v>16.75</v>
      </c>
      <c r="D108" s="17">
        <f t="shared" ref="D108" si="12">C108-0.5</f>
        <v>16.25</v>
      </c>
    </row>
    <row r="109" spans="1:4" s="9" customFormat="1" ht="12" customHeight="1" x14ac:dyDescent="0.3">
      <c r="A109" s="114" t="s">
        <v>25</v>
      </c>
      <c r="B109" s="24">
        <v>44443</v>
      </c>
      <c r="C109" s="17">
        <v>15.54</v>
      </c>
      <c r="D109" s="17">
        <f t="shared" ref="D109:D122" si="13">C109-0.5</f>
        <v>15.04</v>
      </c>
    </row>
    <row r="110" spans="1:4" s="9" customFormat="1" ht="12" customHeight="1" x14ac:dyDescent="0.3">
      <c r="A110" s="114"/>
      <c r="B110" s="24">
        <v>44450</v>
      </c>
      <c r="C110" s="17">
        <v>15.35</v>
      </c>
      <c r="D110" s="17">
        <f t="shared" si="13"/>
        <v>14.85</v>
      </c>
    </row>
    <row r="111" spans="1:4" s="9" customFormat="1" ht="12" customHeight="1" x14ac:dyDescent="0.3">
      <c r="A111" s="114"/>
      <c r="B111" s="24">
        <v>44457</v>
      </c>
      <c r="C111" s="17">
        <v>14.68</v>
      </c>
      <c r="D111" s="17">
        <f t="shared" si="13"/>
        <v>14.18</v>
      </c>
    </row>
    <row r="112" spans="1:4" s="9" customFormat="1" ht="12" customHeight="1" x14ac:dyDescent="0.3">
      <c r="A112" s="114"/>
      <c r="B112" s="24">
        <v>44464</v>
      </c>
      <c r="C112" s="17">
        <v>14.5</v>
      </c>
      <c r="D112" s="17">
        <f t="shared" si="13"/>
        <v>14</v>
      </c>
    </row>
    <row r="113" spans="1:4" s="9" customFormat="1" ht="12" customHeight="1" x14ac:dyDescent="0.3">
      <c r="A113" s="114" t="s">
        <v>26</v>
      </c>
      <c r="B113" s="24">
        <v>44471</v>
      </c>
      <c r="C113" s="17">
        <v>14.32</v>
      </c>
      <c r="D113" s="17">
        <f t="shared" si="13"/>
        <v>13.82</v>
      </c>
    </row>
    <row r="114" spans="1:4" s="9" customFormat="1" ht="12" customHeight="1" x14ac:dyDescent="0.3">
      <c r="A114" s="114"/>
      <c r="B114" s="24">
        <v>44478</v>
      </c>
      <c r="C114" s="17">
        <v>14.3</v>
      </c>
      <c r="D114" s="17">
        <f t="shared" si="13"/>
        <v>13.8</v>
      </c>
    </row>
    <row r="115" spans="1:4" s="9" customFormat="1" ht="12" customHeight="1" x14ac:dyDescent="0.3">
      <c r="A115" s="114"/>
      <c r="B115" s="24">
        <v>44492</v>
      </c>
      <c r="C115" s="17">
        <v>14.11</v>
      </c>
      <c r="D115" s="17">
        <f t="shared" ref="D115" si="14">C115-0.5</f>
        <v>13.61</v>
      </c>
    </row>
    <row r="116" spans="1:4" s="9" customFormat="1" ht="12" customHeight="1" x14ac:dyDescent="0.3">
      <c r="A116" s="114"/>
      <c r="B116" s="24">
        <v>44499</v>
      </c>
      <c r="C116" s="17">
        <v>14.1</v>
      </c>
      <c r="D116" s="17">
        <f t="shared" si="13"/>
        <v>13.6</v>
      </c>
    </row>
    <row r="117" spans="1:4" s="9" customFormat="1" ht="12" customHeight="1" x14ac:dyDescent="0.3">
      <c r="A117" s="107" t="s">
        <v>7</v>
      </c>
      <c r="B117" s="29">
        <v>44513</v>
      </c>
      <c r="C117" s="17">
        <v>14.32</v>
      </c>
      <c r="D117" s="17">
        <f t="shared" si="13"/>
        <v>13.82</v>
      </c>
    </row>
    <row r="118" spans="1:4" s="9" customFormat="1" ht="12" customHeight="1" x14ac:dyDescent="0.3">
      <c r="A118" s="107"/>
      <c r="B118" s="24">
        <v>44527</v>
      </c>
      <c r="C118" s="17">
        <v>14.64</v>
      </c>
      <c r="D118" s="17">
        <f t="shared" si="13"/>
        <v>14.14</v>
      </c>
    </row>
    <row r="119" spans="1:4" s="9" customFormat="1" ht="12" customHeight="1" x14ac:dyDescent="0.3">
      <c r="A119" s="114"/>
      <c r="B119" s="24">
        <v>44541</v>
      </c>
      <c r="C119" s="25">
        <v>15.12</v>
      </c>
      <c r="D119" s="17">
        <f t="shared" si="13"/>
        <v>14.62</v>
      </c>
    </row>
    <row r="120" spans="1:4" s="9" customFormat="1" ht="12" customHeight="1" x14ac:dyDescent="0.3">
      <c r="A120" s="114"/>
      <c r="B120" s="24">
        <v>44548</v>
      </c>
      <c r="C120" s="27">
        <v>15.22</v>
      </c>
      <c r="D120" s="17">
        <f t="shared" si="13"/>
        <v>14.72</v>
      </c>
    </row>
    <row r="121" spans="1:4" s="9" customFormat="1" ht="12" customHeight="1" x14ac:dyDescent="0.3">
      <c r="A121" s="114"/>
      <c r="B121" s="24">
        <v>44555</v>
      </c>
      <c r="C121" s="25">
        <v>15.54</v>
      </c>
      <c r="D121" s="17">
        <f t="shared" si="13"/>
        <v>15.04</v>
      </c>
    </row>
    <row r="122" spans="1:4" s="9" customFormat="1" ht="12" customHeight="1" x14ac:dyDescent="0.3">
      <c r="A122" s="114" t="s">
        <v>20</v>
      </c>
      <c r="B122" s="24">
        <v>44562</v>
      </c>
      <c r="C122" s="25">
        <v>15.73</v>
      </c>
      <c r="D122" s="25">
        <f t="shared" si="13"/>
        <v>15.23</v>
      </c>
    </row>
    <row r="123" spans="1:4" s="9" customFormat="1" ht="12" customHeight="1" x14ac:dyDescent="0.3">
      <c r="A123" s="114"/>
      <c r="B123" s="24">
        <v>44576</v>
      </c>
      <c r="C123" s="27">
        <v>15.62</v>
      </c>
      <c r="D123" s="25">
        <f t="shared" ref="D123" si="15">C123-0.5</f>
        <v>15.12</v>
      </c>
    </row>
    <row r="124" spans="1:4" s="9" customFormat="1" ht="12" customHeight="1" x14ac:dyDescent="0.3">
      <c r="A124" s="114"/>
      <c r="B124" s="24">
        <v>44584</v>
      </c>
      <c r="C124" s="25">
        <v>16.260000000000002</v>
      </c>
      <c r="D124" s="25">
        <f t="shared" ref="D124:D137" si="16">C124-0.5</f>
        <v>15.760000000000002</v>
      </c>
    </row>
    <row r="125" spans="1:4" s="9" customFormat="1" ht="12" customHeight="1" x14ac:dyDescent="0.3">
      <c r="A125" s="114"/>
      <c r="B125" s="24">
        <v>44590</v>
      </c>
      <c r="C125" s="25">
        <v>16.37</v>
      </c>
      <c r="D125" s="25">
        <f t="shared" si="16"/>
        <v>15.870000000000001</v>
      </c>
    </row>
    <row r="126" spans="1:4" s="9" customFormat="1" ht="12" customHeight="1" x14ac:dyDescent="0.3">
      <c r="A126" s="114" t="s">
        <v>29</v>
      </c>
      <c r="B126" s="67">
        <v>44597</v>
      </c>
      <c r="C126" s="27">
        <v>16.39</v>
      </c>
      <c r="D126" s="25">
        <f t="shared" si="16"/>
        <v>15.89</v>
      </c>
    </row>
    <row r="127" spans="1:4" s="9" customFormat="1" ht="12" customHeight="1" x14ac:dyDescent="0.3">
      <c r="A127" s="114"/>
      <c r="B127" s="67">
        <v>44604</v>
      </c>
      <c r="C127" s="27">
        <v>16.28</v>
      </c>
      <c r="D127" s="25">
        <f t="shared" si="16"/>
        <v>15.780000000000001</v>
      </c>
    </row>
    <row r="128" spans="1:4" s="9" customFormat="1" ht="12" customHeight="1" x14ac:dyDescent="0.3">
      <c r="A128" s="114"/>
      <c r="B128" s="67">
        <v>44612</v>
      </c>
      <c r="C128" s="27">
        <v>16.100000000000001</v>
      </c>
      <c r="D128" s="25">
        <f t="shared" si="16"/>
        <v>15.600000000000001</v>
      </c>
    </row>
    <row r="129" spans="1:4" s="9" customFormat="1" ht="12" customHeight="1" x14ac:dyDescent="0.3">
      <c r="A129" s="114"/>
      <c r="B129" s="67">
        <v>44619</v>
      </c>
      <c r="C129" s="27">
        <v>16.059999999999999</v>
      </c>
      <c r="D129" s="25">
        <f t="shared" si="16"/>
        <v>15.559999999999999</v>
      </c>
    </row>
    <row r="130" spans="1:4" s="9" customFormat="1" ht="12" customHeight="1" x14ac:dyDescent="0.3">
      <c r="A130" s="114" t="s">
        <v>13</v>
      </c>
      <c r="B130" s="24">
        <v>44626</v>
      </c>
      <c r="C130" s="25">
        <v>16.260000000000002</v>
      </c>
      <c r="D130" s="25">
        <f t="shared" si="16"/>
        <v>15.760000000000002</v>
      </c>
    </row>
    <row r="131" spans="1:4" s="9" customFormat="1" ht="12" customHeight="1" x14ac:dyDescent="0.3">
      <c r="A131" s="114"/>
      <c r="B131" s="24">
        <v>44633</v>
      </c>
      <c r="C131" s="28">
        <v>16.18</v>
      </c>
      <c r="D131" s="25">
        <f t="shared" si="16"/>
        <v>15.68</v>
      </c>
    </row>
    <row r="132" spans="1:4" s="9" customFormat="1" ht="12" customHeight="1" x14ac:dyDescent="0.3">
      <c r="A132" s="114"/>
      <c r="B132" s="24">
        <v>44640</v>
      </c>
      <c r="C132" s="27">
        <v>16.3</v>
      </c>
      <c r="D132" s="25">
        <f t="shared" si="16"/>
        <v>15.8</v>
      </c>
    </row>
    <row r="133" spans="1:4" s="9" customFormat="1" ht="12" customHeight="1" x14ac:dyDescent="0.3">
      <c r="A133" s="114"/>
      <c r="B133" s="24">
        <v>44646</v>
      </c>
      <c r="C133" s="25">
        <v>16.48</v>
      </c>
      <c r="D133" s="25">
        <f t="shared" si="16"/>
        <v>15.98</v>
      </c>
    </row>
    <row r="134" spans="1:4" s="9" customFormat="1" ht="12" customHeight="1" x14ac:dyDescent="0.3">
      <c r="A134" s="114" t="s">
        <v>23</v>
      </c>
      <c r="B134" s="24">
        <v>44653</v>
      </c>
      <c r="C134" s="25">
        <v>16.38</v>
      </c>
      <c r="D134" s="25">
        <f t="shared" si="16"/>
        <v>15.879999999999999</v>
      </c>
    </row>
    <row r="135" spans="1:4" s="9" customFormat="1" ht="12" customHeight="1" x14ac:dyDescent="0.3">
      <c r="A135" s="114"/>
      <c r="B135" s="24">
        <v>44667</v>
      </c>
      <c r="C135" s="27">
        <v>16.66</v>
      </c>
      <c r="D135" s="25">
        <f t="shared" si="16"/>
        <v>16.16</v>
      </c>
    </row>
    <row r="136" spans="1:4" s="9" customFormat="1" ht="12" customHeight="1" x14ac:dyDescent="0.3">
      <c r="A136" s="114"/>
      <c r="B136" s="24">
        <v>44674</v>
      </c>
      <c r="C136" s="25">
        <v>16.72</v>
      </c>
      <c r="D136" s="25">
        <f t="shared" ref="D136" si="17">C136-0.5</f>
        <v>16.22</v>
      </c>
    </row>
    <row r="137" spans="1:4" s="9" customFormat="1" ht="12" customHeight="1" x14ac:dyDescent="0.3">
      <c r="A137" s="114"/>
      <c r="B137" s="24">
        <v>44681</v>
      </c>
      <c r="C137" s="25">
        <v>16.73</v>
      </c>
      <c r="D137" s="25">
        <f t="shared" si="16"/>
        <v>16.23</v>
      </c>
    </row>
    <row r="138" spans="1:4" s="9" customFormat="1" ht="12" customHeight="1" x14ac:dyDescent="0.3">
      <c r="A138" s="114" t="s">
        <v>15</v>
      </c>
      <c r="B138" s="24">
        <v>44687</v>
      </c>
      <c r="C138" s="25">
        <v>16.739999999999998</v>
      </c>
      <c r="D138" s="25">
        <f t="shared" ref="D138:D139" si="18">C138-0.5</f>
        <v>16.239999999999998</v>
      </c>
    </row>
    <row r="139" spans="1:4" s="9" customFormat="1" ht="12" customHeight="1" x14ac:dyDescent="0.3">
      <c r="A139" s="114"/>
      <c r="B139" s="24">
        <v>44696</v>
      </c>
      <c r="C139" s="27">
        <v>16.77</v>
      </c>
      <c r="D139" s="25">
        <f t="shared" si="18"/>
        <v>16.27</v>
      </c>
    </row>
    <row r="140" spans="1:4" s="9" customFormat="1" ht="12" customHeight="1" x14ac:dyDescent="0.3">
      <c r="A140" s="114"/>
      <c r="B140" s="24">
        <v>44703</v>
      </c>
      <c r="C140" s="27">
        <v>16.62</v>
      </c>
      <c r="D140" s="25">
        <f t="shared" ref="D140:D149" si="19">C140-0.5</f>
        <v>16.12</v>
      </c>
    </row>
    <row r="141" spans="1:4" s="9" customFormat="1" ht="12" customHeight="1" x14ac:dyDescent="0.3">
      <c r="A141" s="114"/>
      <c r="B141" s="24">
        <v>44708</v>
      </c>
      <c r="C141" s="25">
        <v>16.71</v>
      </c>
      <c r="D141" s="25">
        <f t="shared" si="19"/>
        <v>16.21</v>
      </c>
    </row>
    <row r="142" spans="1:4" s="9" customFormat="1" ht="12" customHeight="1" x14ac:dyDescent="0.3">
      <c r="A142" s="107"/>
      <c r="B142" s="29">
        <v>44722</v>
      </c>
      <c r="C142" s="17">
        <v>16.77</v>
      </c>
      <c r="D142" s="27">
        <f t="shared" si="19"/>
        <v>16.27</v>
      </c>
    </row>
    <row r="143" spans="1:4" s="9" customFormat="1" ht="12" customHeight="1" x14ac:dyDescent="0.3">
      <c r="A143" s="107"/>
      <c r="B143" s="29">
        <v>44729</v>
      </c>
      <c r="C143" s="28">
        <v>16.7</v>
      </c>
      <c r="D143" s="27">
        <f t="shared" si="19"/>
        <v>16.2</v>
      </c>
    </row>
    <row r="144" spans="1:4" s="9" customFormat="1" ht="12" customHeight="1" x14ac:dyDescent="0.3">
      <c r="A144" s="107"/>
      <c r="B144" s="29">
        <v>44736</v>
      </c>
      <c r="C144" s="17">
        <v>16.32</v>
      </c>
      <c r="D144" s="27">
        <f t="shared" si="19"/>
        <v>15.82</v>
      </c>
    </row>
    <row r="145" spans="1:4" s="9" customFormat="1" ht="12" customHeight="1" x14ac:dyDescent="0.3">
      <c r="A145" s="107" t="s">
        <v>3</v>
      </c>
      <c r="B145" s="29">
        <v>44743</v>
      </c>
      <c r="C145" s="31">
        <v>15.65</v>
      </c>
      <c r="D145" s="27">
        <f t="shared" si="19"/>
        <v>15.15</v>
      </c>
    </row>
    <row r="146" spans="1:4" s="9" customFormat="1" ht="12" customHeight="1" x14ac:dyDescent="0.3">
      <c r="A146" s="107"/>
      <c r="B146" s="29">
        <v>44751</v>
      </c>
      <c r="C146" s="17">
        <v>15.07</v>
      </c>
      <c r="D146" s="27">
        <f t="shared" si="19"/>
        <v>14.57</v>
      </c>
    </row>
    <row r="147" spans="1:4" s="9" customFormat="1" ht="12" customHeight="1" x14ac:dyDescent="0.3">
      <c r="A147" s="107"/>
      <c r="B147" s="29">
        <v>44758</v>
      </c>
      <c r="C147" s="30">
        <v>14.84</v>
      </c>
      <c r="D147" s="27">
        <f t="shared" si="19"/>
        <v>14.34</v>
      </c>
    </row>
    <row r="148" spans="1:4" s="9" customFormat="1" ht="12" customHeight="1" x14ac:dyDescent="0.3">
      <c r="A148" s="107"/>
      <c r="B148" s="29">
        <v>44764</v>
      </c>
      <c r="C148" s="17">
        <v>14.39</v>
      </c>
      <c r="D148" s="27">
        <f t="shared" ref="D148" si="20">C148-0.5</f>
        <v>13.89</v>
      </c>
    </row>
    <row r="149" spans="1:4" s="9" customFormat="1" ht="12" customHeight="1" x14ac:dyDescent="0.3">
      <c r="A149" s="107"/>
      <c r="B149" s="29">
        <v>44771</v>
      </c>
      <c r="C149" s="17">
        <v>14.06</v>
      </c>
      <c r="D149" s="27">
        <f t="shared" si="19"/>
        <v>13.56</v>
      </c>
    </row>
    <row r="150" spans="1:4" s="9" customFormat="1" ht="12" customHeight="1" x14ac:dyDescent="0.3">
      <c r="A150" s="107" t="s">
        <v>34</v>
      </c>
      <c r="B150" s="29">
        <v>44780</v>
      </c>
      <c r="C150" s="31">
        <v>13.33</v>
      </c>
      <c r="D150" s="27">
        <f t="shared" ref="D150:D155" si="21">C150-0.5</f>
        <v>12.83</v>
      </c>
    </row>
    <row r="151" spans="1:4" s="9" customFormat="1" ht="12" customHeight="1" x14ac:dyDescent="0.3">
      <c r="A151" s="107"/>
      <c r="B151" s="29">
        <v>44786</v>
      </c>
      <c r="C151" s="17">
        <v>12.74</v>
      </c>
      <c r="D151" s="27">
        <f t="shared" si="21"/>
        <v>12.24</v>
      </c>
    </row>
    <row r="152" spans="1:4" s="9" customFormat="1" ht="12" customHeight="1" x14ac:dyDescent="0.3">
      <c r="A152" s="107"/>
      <c r="B152" s="29">
        <v>44798</v>
      </c>
      <c r="C152" s="17">
        <v>10.55</v>
      </c>
      <c r="D152" s="27">
        <f t="shared" si="21"/>
        <v>10.050000000000001</v>
      </c>
    </row>
    <row r="153" spans="1:4" s="9" customFormat="1" ht="12" customHeight="1" x14ac:dyDescent="0.3">
      <c r="A153" s="107" t="s">
        <v>25</v>
      </c>
      <c r="B153" s="29">
        <v>44806</v>
      </c>
      <c r="C153" s="30">
        <v>9.98</v>
      </c>
      <c r="D153" s="27">
        <f t="shared" si="21"/>
        <v>9.48</v>
      </c>
    </row>
    <row r="154" spans="1:4" s="9" customFormat="1" ht="12" customHeight="1" x14ac:dyDescent="0.3">
      <c r="A154" s="107"/>
      <c r="B154" s="29">
        <v>44814</v>
      </c>
      <c r="C154" s="30">
        <v>9.3800000000000008</v>
      </c>
      <c r="D154" s="28">
        <f t="shared" si="21"/>
        <v>8.8800000000000008</v>
      </c>
    </row>
    <row r="155" spans="1:4" s="9" customFormat="1" ht="12" customHeight="1" x14ac:dyDescent="0.3">
      <c r="A155" s="107"/>
      <c r="B155" s="29">
        <v>44822</v>
      </c>
      <c r="C155" s="30">
        <v>9.42</v>
      </c>
      <c r="D155" s="28">
        <f t="shared" si="21"/>
        <v>8.92</v>
      </c>
    </row>
    <row r="156" spans="1:4" s="9" customFormat="1" ht="12" customHeight="1" x14ac:dyDescent="0.3">
      <c r="A156" s="107" t="s">
        <v>26</v>
      </c>
      <c r="B156" s="29">
        <v>44841</v>
      </c>
      <c r="C156" s="30">
        <v>9.17</v>
      </c>
      <c r="D156" s="27">
        <f t="shared" ref="D156:D164" si="22">C156-0.5</f>
        <v>8.67</v>
      </c>
    </row>
    <row r="157" spans="1:4" s="9" customFormat="1" ht="12" customHeight="1" x14ac:dyDescent="0.3">
      <c r="A157" s="107"/>
      <c r="B157" s="29">
        <v>44848</v>
      </c>
      <c r="C157" s="30">
        <v>9.2200000000000006</v>
      </c>
      <c r="D157" s="28">
        <f t="shared" si="22"/>
        <v>8.7200000000000006</v>
      </c>
    </row>
    <row r="158" spans="1:4" s="9" customFormat="1" ht="12" customHeight="1" x14ac:dyDescent="0.3">
      <c r="A158" s="107"/>
      <c r="B158" s="29">
        <v>44855</v>
      </c>
      <c r="C158" s="30">
        <v>9.25</v>
      </c>
      <c r="D158" s="28">
        <f t="shared" si="22"/>
        <v>8.75</v>
      </c>
    </row>
    <row r="159" spans="1:4" s="9" customFormat="1" ht="12" customHeight="1" x14ac:dyDescent="0.3">
      <c r="A159" s="107"/>
      <c r="B159" s="29">
        <v>44862</v>
      </c>
      <c r="C159" s="30">
        <v>9.31</v>
      </c>
      <c r="D159" s="28">
        <f t="shared" si="22"/>
        <v>8.81</v>
      </c>
    </row>
    <row r="160" spans="1:4" s="9" customFormat="1" ht="12" customHeight="1" x14ac:dyDescent="0.3">
      <c r="A160" s="112" t="s">
        <v>27</v>
      </c>
      <c r="B160" s="29">
        <v>44871</v>
      </c>
      <c r="C160" s="30">
        <v>9.48</v>
      </c>
      <c r="D160" s="28">
        <f t="shared" si="22"/>
        <v>8.98</v>
      </c>
    </row>
    <row r="161" spans="1:4" s="9" customFormat="1" ht="12" customHeight="1" x14ac:dyDescent="0.3">
      <c r="A161" s="112"/>
      <c r="B161" s="29">
        <v>44876</v>
      </c>
      <c r="C161" s="30">
        <v>9.61</v>
      </c>
      <c r="D161" s="28">
        <f t="shared" si="22"/>
        <v>9.11</v>
      </c>
    </row>
    <row r="162" spans="1:4" s="9" customFormat="1" ht="12" customHeight="1" x14ac:dyDescent="0.3">
      <c r="A162" s="112"/>
      <c r="B162" s="29">
        <v>44884</v>
      </c>
      <c r="C162" s="33">
        <v>9.73</v>
      </c>
      <c r="D162" s="28">
        <f t="shared" si="22"/>
        <v>9.23</v>
      </c>
    </row>
    <row r="163" spans="1:4" s="9" customFormat="1" ht="12" customHeight="1" thickBot="1" x14ac:dyDescent="0.35">
      <c r="A163" s="112"/>
      <c r="B163" s="34">
        <v>44890</v>
      </c>
      <c r="C163" s="15">
        <v>9.8699999999999992</v>
      </c>
      <c r="D163" s="68">
        <f t="shared" si="22"/>
        <v>9.3699999999999992</v>
      </c>
    </row>
    <row r="164" spans="1:4" s="9" customFormat="1" ht="12" customHeight="1" x14ac:dyDescent="0.3">
      <c r="A164" s="104" t="s">
        <v>28</v>
      </c>
      <c r="B164" s="36">
        <v>44899</v>
      </c>
      <c r="C164" s="37">
        <v>10.06</v>
      </c>
      <c r="D164" s="69">
        <f t="shared" si="22"/>
        <v>9.56</v>
      </c>
    </row>
    <row r="165" spans="1:4" s="9" customFormat="1" ht="12" customHeight="1" x14ac:dyDescent="0.3">
      <c r="A165" s="106"/>
      <c r="B165" s="29">
        <v>44912</v>
      </c>
      <c r="C165" s="33">
        <v>10.36</v>
      </c>
      <c r="D165" s="27">
        <f>C165-0.5</f>
        <v>9.86</v>
      </c>
    </row>
    <row r="166" spans="1:4" s="9" customFormat="1" ht="12" customHeight="1" thickBot="1" x14ac:dyDescent="0.35">
      <c r="A166" s="105"/>
      <c r="B166" s="39">
        <v>44925</v>
      </c>
      <c r="C166" s="40">
        <v>10.69</v>
      </c>
      <c r="D166" s="41">
        <f t="shared" ref="D166:D168" si="23">C166-0.5</f>
        <v>10.19</v>
      </c>
    </row>
    <row r="167" spans="1:4" s="9" customFormat="1" ht="12" customHeight="1" thickBot="1" x14ac:dyDescent="0.35">
      <c r="A167" s="98" t="s">
        <v>20</v>
      </c>
      <c r="B167" s="36">
        <v>44932</v>
      </c>
      <c r="C167" s="42">
        <v>10.86</v>
      </c>
      <c r="D167" s="38">
        <f t="shared" si="23"/>
        <v>10.36</v>
      </c>
    </row>
    <row r="168" spans="1:4" s="9" customFormat="1" ht="12" customHeight="1" thickBot="1" x14ac:dyDescent="0.35">
      <c r="A168" s="98" t="s">
        <v>29</v>
      </c>
      <c r="B168" s="36">
        <v>44960</v>
      </c>
      <c r="C168" s="43">
        <v>11.48</v>
      </c>
      <c r="D168" s="38">
        <f t="shared" si="23"/>
        <v>10.98</v>
      </c>
    </row>
    <row r="169" spans="1:4" s="9" customFormat="1" ht="12" customHeight="1" x14ac:dyDescent="0.3">
      <c r="A169" s="123" t="s">
        <v>13</v>
      </c>
      <c r="B169" s="36">
        <v>44989</v>
      </c>
      <c r="C169" s="42">
        <v>12.01</v>
      </c>
      <c r="D169" s="38">
        <f>C169-0.5</f>
        <v>11.51</v>
      </c>
    </row>
    <row r="170" spans="1:4" s="9" customFormat="1" ht="12" customHeight="1" x14ac:dyDescent="0.3">
      <c r="A170" s="126"/>
      <c r="B170" s="29">
        <v>45009</v>
      </c>
      <c r="C170" s="17">
        <v>12.32</v>
      </c>
      <c r="D170" s="27">
        <f t="shared" ref="D170:D171" si="24">C170-0.5</f>
        <v>11.82</v>
      </c>
    </row>
    <row r="171" spans="1:4" s="9" customFormat="1" ht="12" customHeight="1" thickBot="1" x14ac:dyDescent="0.35">
      <c r="A171" s="125"/>
      <c r="B171" s="39">
        <v>45016</v>
      </c>
      <c r="C171" s="40">
        <v>12.42</v>
      </c>
      <c r="D171" s="41">
        <f t="shared" si="24"/>
        <v>11.92</v>
      </c>
    </row>
    <row r="172" spans="1:4" s="9" customFormat="1" ht="12" customHeight="1" thickBot="1" x14ac:dyDescent="0.35">
      <c r="A172" s="99"/>
      <c r="B172" s="34">
        <v>45045</v>
      </c>
      <c r="C172" s="15">
        <v>12.79</v>
      </c>
      <c r="D172" s="35">
        <f t="shared" ref="D172:D174" si="25">C172-0.5</f>
        <v>12.29</v>
      </c>
    </row>
    <row r="173" spans="1:4" s="9" customFormat="1" ht="12" customHeight="1" x14ac:dyDescent="0.3">
      <c r="A173" s="123" t="s">
        <v>15</v>
      </c>
      <c r="B173" s="36">
        <v>45051</v>
      </c>
      <c r="C173" s="43">
        <v>12.86</v>
      </c>
      <c r="D173" s="38">
        <f t="shared" si="25"/>
        <v>12.36</v>
      </c>
    </row>
    <row r="174" spans="1:4" s="9" customFormat="1" ht="12" customHeight="1" x14ac:dyDescent="0.3">
      <c r="A174" s="124"/>
      <c r="B174" s="29">
        <v>45060</v>
      </c>
      <c r="C174" s="31">
        <v>13</v>
      </c>
      <c r="D174" s="27">
        <f t="shared" si="25"/>
        <v>12.5</v>
      </c>
    </row>
    <row r="175" spans="1:4" s="9" customFormat="1" ht="12" customHeight="1" x14ac:dyDescent="0.3">
      <c r="A175" s="126"/>
      <c r="B175" s="29">
        <v>45102</v>
      </c>
      <c r="C175" s="46">
        <v>12.98</v>
      </c>
      <c r="D175" s="27">
        <f t="shared" ref="D175:D178" si="26">C175-0.5</f>
        <v>12.48</v>
      </c>
    </row>
    <row r="176" spans="1:4" s="9" customFormat="1" ht="12" customHeight="1" x14ac:dyDescent="0.3">
      <c r="A176" s="126"/>
      <c r="B176" s="34">
        <v>45107</v>
      </c>
      <c r="C176" s="70">
        <v>12.77</v>
      </c>
      <c r="D176" s="51">
        <f t="shared" si="26"/>
        <v>12.27</v>
      </c>
    </row>
    <row r="177" spans="1:4" s="9" customFormat="1" ht="12" customHeight="1" x14ac:dyDescent="0.3">
      <c r="A177" s="124"/>
      <c r="B177" s="29">
        <v>45128</v>
      </c>
      <c r="C177" s="31">
        <v>12.56</v>
      </c>
      <c r="D177" s="27">
        <f t="shared" si="26"/>
        <v>12.06</v>
      </c>
    </row>
    <row r="178" spans="1:4" s="9" customFormat="1" ht="12" customHeight="1" thickBot="1" x14ac:dyDescent="0.35">
      <c r="A178" s="125"/>
      <c r="B178" s="39">
        <v>45135</v>
      </c>
      <c r="C178" s="12">
        <v>12.48</v>
      </c>
      <c r="D178" s="41">
        <f t="shared" si="26"/>
        <v>11.98</v>
      </c>
    </row>
    <row r="179" spans="1:4" s="9" customFormat="1" ht="12" customHeight="1" x14ac:dyDescent="0.3">
      <c r="A179" s="104" t="s">
        <v>18</v>
      </c>
      <c r="B179" s="50">
        <v>45143</v>
      </c>
      <c r="C179" s="43">
        <v>12.21</v>
      </c>
      <c r="D179" s="27">
        <f t="shared" ref="D179:D180" si="27">C179-0.5</f>
        <v>11.71</v>
      </c>
    </row>
    <row r="180" spans="1:4" s="9" customFormat="1" ht="12" customHeight="1" thickBot="1" x14ac:dyDescent="0.35">
      <c r="A180" s="105"/>
      <c r="B180" s="52">
        <v>45163</v>
      </c>
      <c r="C180" s="12">
        <v>11.2</v>
      </c>
      <c r="D180" s="41">
        <f t="shared" si="27"/>
        <v>10.7</v>
      </c>
    </row>
  </sheetData>
  <mergeCells count="49">
    <mergeCell ref="A29:A32"/>
    <mergeCell ref="A59:A62"/>
    <mergeCell ref="A175:A176"/>
    <mergeCell ref="A173:A174"/>
    <mergeCell ref="A169:A171"/>
    <mergeCell ref="A63:A66"/>
    <mergeCell ref="A126:A129"/>
    <mergeCell ref="A122:A125"/>
    <mergeCell ref="A119:A121"/>
    <mergeCell ref="A117:A118"/>
    <mergeCell ref="A100:A102"/>
    <mergeCell ref="A103:A106"/>
    <mergeCell ref="A72:A74"/>
    <mergeCell ref="A87:A90"/>
    <mergeCell ref="A83:A86"/>
    <mergeCell ref="A153:A155"/>
    <mergeCell ref="A55:A58"/>
    <mergeCell ref="A51:A54"/>
    <mergeCell ref="A46:A50"/>
    <mergeCell ref="A33:A37"/>
    <mergeCell ref="A42:A45"/>
    <mergeCell ref="A38:A41"/>
    <mergeCell ref="A75:A78"/>
    <mergeCell ref="A3:A6"/>
    <mergeCell ref="A16:A19"/>
    <mergeCell ref="A1:B1"/>
    <mergeCell ref="A20:A24"/>
    <mergeCell ref="A25:A28"/>
    <mergeCell ref="C1:D1"/>
    <mergeCell ref="A79:A82"/>
    <mergeCell ref="A67:A71"/>
    <mergeCell ref="A150:A152"/>
    <mergeCell ref="A145:A149"/>
    <mergeCell ref="A142:A144"/>
    <mergeCell ref="A138:A141"/>
    <mergeCell ref="A134:A137"/>
    <mergeCell ref="A130:A133"/>
    <mergeCell ref="A91:A94"/>
    <mergeCell ref="A95:A99"/>
    <mergeCell ref="A113:A116"/>
    <mergeCell ref="A109:A112"/>
    <mergeCell ref="A107:A108"/>
    <mergeCell ref="A7:A10"/>
    <mergeCell ref="A11:A15"/>
    <mergeCell ref="A179:A180"/>
    <mergeCell ref="A177:A178"/>
    <mergeCell ref="A164:A166"/>
    <mergeCell ref="A160:A163"/>
    <mergeCell ref="A156:A15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zoomScaleNormal="100" workbookViewId="0">
      <selection activeCell="C1" sqref="C1:D1"/>
    </sheetView>
  </sheetViews>
  <sheetFormatPr baseColWidth="10" defaultColWidth="9.1796875" defaultRowHeight="14.5" x14ac:dyDescent="0.35"/>
  <cols>
    <col min="2" max="2" width="11.26953125" customWidth="1"/>
    <col min="3" max="3" width="22.54296875" style="5" customWidth="1"/>
    <col min="4" max="4" width="24.26953125" style="5" customWidth="1"/>
  </cols>
  <sheetData>
    <row r="1" spans="1:5" s="2" customFormat="1" ht="14.15" customHeight="1" x14ac:dyDescent="0.3">
      <c r="A1" s="119" t="s">
        <v>45</v>
      </c>
      <c r="B1" s="119"/>
      <c r="C1" s="131" t="s">
        <v>52</v>
      </c>
      <c r="D1" s="131"/>
      <c r="E1" s="4" t="s">
        <v>30</v>
      </c>
    </row>
    <row r="2" spans="1:5" s="1" customFormat="1" ht="14.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07" t="s">
        <v>14</v>
      </c>
      <c r="B3" s="29">
        <v>44677</v>
      </c>
      <c r="C3" s="71">
        <v>13.67</v>
      </c>
      <c r="D3" s="72">
        <f>SUM(C3-0.74)</f>
        <v>12.93</v>
      </c>
    </row>
    <row r="4" spans="1:5" s="9" customFormat="1" ht="12" customHeight="1" x14ac:dyDescent="0.3">
      <c r="A4" s="107"/>
      <c r="B4" s="29">
        <v>44681</v>
      </c>
      <c r="C4" s="17">
        <v>13.67</v>
      </c>
      <c r="D4" s="27">
        <f>SUM(C4-0.74)</f>
        <v>12.93</v>
      </c>
    </row>
    <row r="5" spans="1:5" s="9" customFormat="1" ht="12" customHeight="1" x14ac:dyDescent="0.3">
      <c r="A5" s="107" t="s">
        <v>24</v>
      </c>
      <c r="B5" s="29">
        <v>44688</v>
      </c>
      <c r="C5" s="31">
        <v>13.78</v>
      </c>
      <c r="D5" s="27">
        <f t="shared" ref="D5:D6" si="0">SUM(C5-0.74)</f>
        <v>13.04</v>
      </c>
    </row>
    <row r="6" spans="1:5" s="9" customFormat="1" ht="12" customHeight="1" x14ac:dyDescent="0.3">
      <c r="A6" s="107"/>
      <c r="B6" s="29">
        <v>44696</v>
      </c>
      <c r="C6" s="31">
        <v>13.86</v>
      </c>
      <c r="D6" s="27">
        <f t="shared" si="0"/>
        <v>13.12</v>
      </c>
    </row>
    <row r="7" spans="1:5" s="9" customFormat="1" ht="12" customHeight="1" x14ac:dyDescent="0.3">
      <c r="A7" s="107"/>
      <c r="B7" s="29">
        <v>44701</v>
      </c>
      <c r="C7" s="31">
        <v>13.96</v>
      </c>
      <c r="D7" s="27">
        <f>C7-0.74</f>
        <v>13.22</v>
      </c>
    </row>
    <row r="8" spans="1:5" s="9" customFormat="1" ht="12" customHeight="1" x14ac:dyDescent="0.3">
      <c r="A8" s="107"/>
      <c r="B8" s="29">
        <v>44708</v>
      </c>
      <c r="C8" s="31">
        <v>14.04</v>
      </c>
      <c r="D8" s="27">
        <f>C8-0.74</f>
        <v>13.299999999999999</v>
      </c>
    </row>
    <row r="9" spans="1:5" s="9" customFormat="1" ht="12" customHeight="1" x14ac:dyDescent="0.3">
      <c r="A9" s="107" t="s">
        <v>16</v>
      </c>
      <c r="B9" s="29">
        <v>44715</v>
      </c>
      <c r="C9" s="31">
        <v>14.07</v>
      </c>
      <c r="D9" s="27">
        <f t="shared" ref="D9:D17" si="1">C9-0.74</f>
        <v>13.33</v>
      </c>
    </row>
    <row r="10" spans="1:5" s="9" customFormat="1" ht="12" customHeight="1" x14ac:dyDescent="0.3">
      <c r="A10" s="107"/>
      <c r="B10" s="29">
        <v>44722</v>
      </c>
      <c r="C10" s="17">
        <v>14.13</v>
      </c>
      <c r="D10" s="27">
        <f t="shared" si="1"/>
        <v>13.39</v>
      </c>
    </row>
    <row r="11" spans="1:5" s="9" customFormat="1" ht="12" customHeight="1" x14ac:dyDescent="0.3">
      <c r="A11" s="107"/>
      <c r="B11" s="29">
        <v>44729</v>
      </c>
      <c r="C11" s="30">
        <v>14.16</v>
      </c>
      <c r="D11" s="27">
        <f t="shared" si="1"/>
        <v>13.42</v>
      </c>
    </row>
    <row r="12" spans="1:5" s="9" customFormat="1" ht="12" customHeight="1" x14ac:dyDescent="0.3">
      <c r="A12" s="107"/>
      <c r="B12" s="29">
        <v>44736</v>
      </c>
      <c r="C12" s="17">
        <v>14.12</v>
      </c>
      <c r="D12" s="27">
        <f t="shared" si="1"/>
        <v>13.379999999999999</v>
      </c>
    </row>
    <row r="13" spans="1:5" s="9" customFormat="1" ht="12" customHeight="1" x14ac:dyDescent="0.3">
      <c r="A13" s="107" t="s">
        <v>3</v>
      </c>
      <c r="B13" s="29">
        <v>44745</v>
      </c>
      <c r="C13" s="31">
        <v>14.03</v>
      </c>
      <c r="D13" s="27">
        <f t="shared" si="1"/>
        <v>13.29</v>
      </c>
    </row>
    <row r="14" spans="1:5" s="9" customFormat="1" ht="12" customHeight="1" x14ac:dyDescent="0.3">
      <c r="A14" s="107"/>
      <c r="B14" s="29">
        <v>44750</v>
      </c>
      <c r="C14" s="17">
        <v>13.93</v>
      </c>
      <c r="D14" s="27">
        <f t="shared" si="1"/>
        <v>13.19</v>
      </c>
    </row>
    <row r="15" spans="1:5" s="9" customFormat="1" ht="12" customHeight="1" x14ac:dyDescent="0.3">
      <c r="A15" s="107"/>
      <c r="B15" s="29">
        <v>44758</v>
      </c>
      <c r="C15" s="30">
        <v>13.89</v>
      </c>
      <c r="D15" s="27">
        <f t="shared" si="1"/>
        <v>13.15</v>
      </c>
    </row>
    <row r="16" spans="1:5" s="9" customFormat="1" ht="12" customHeight="1" x14ac:dyDescent="0.3">
      <c r="A16" s="107"/>
      <c r="B16" s="29">
        <v>44764</v>
      </c>
      <c r="C16" s="17">
        <v>13.85</v>
      </c>
      <c r="D16" s="27">
        <f t="shared" ref="D16" si="2">C16-0.74</f>
        <v>13.11</v>
      </c>
    </row>
    <row r="17" spans="1:4" s="9" customFormat="1" ht="12" customHeight="1" x14ac:dyDescent="0.3">
      <c r="A17" s="107"/>
      <c r="B17" s="29">
        <v>44772</v>
      </c>
      <c r="C17" s="17">
        <v>13.74</v>
      </c>
      <c r="D17" s="27">
        <f t="shared" si="1"/>
        <v>13</v>
      </c>
    </row>
    <row r="18" spans="1:4" s="9" customFormat="1" ht="12" customHeight="1" x14ac:dyDescent="0.3">
      <c r="A18" s="107" t="s">
        <v>18</v>
      </c>
      <c r="B18" s="29">
        <v>44780</v>
      </c>
      <c r="C18" s="31">
        <v>13.68</v>
      </c>
      <c r="D18" s="27">
        <f t="shared" ref="D18:D23" si="3">C18-0.74</f>
        <v>12.94</v>
      </c>
    </row>
    <row r="19" spans="1:4" s="9" customFormat="1" ht="12" customHeight="1" x14ac:dyDescent="0.3">
      <c r="A19" s="107"/>
      <c r="B19" s="29">
        <v>44785</v>
      </c>
      <c r="C19" s="17">
        <v>13.54</v>
      </c>
      <c r="D19" s="27">
        <f t="shared" si="3"/>
        <v>12.799999999999999</v>
      </c>
    </row>
    <row r="20" spans="1:4" s="9" customFormat="1" ht="12" customHeight="1" x14ac:dyDescent="0.3">
      <c r="A20" s="107"/>
      <c r="B20" s="29">
        <v>44798</v>
      </c>
      <c r="C20" s="17">
        <v>12.43</v>
      </c>
      <c r="D20" s="27">
        <f t="shared" si="3"/>
        <v>11.69</v>
      </c>
    </row>
    <row r="21" spans="1:4" s="9" customFormat="1" ht="12" customHeight="1" x14ac:dyDescent="0.3">
      <c r="A21" s="107" t="s">
        <v>25</v>
      </c>
      <c r="B21" s="29">
        <v>44806</v>
      </c>
      <c r="C21" s="31">
        <v>11.46</v>
      </c>
      <c r="D21" s="27">
        <f t="shared" si="3"/>
        <v>10.72</v>
      </c>
    </row>
    <row r="22" spans="1:4" s="9" customFormat="1" ht="12" customHeight="1" x14ac:dyDescent="0.3">
      <c r="A22" s="107"/>
      <c r="B22" s="29">
        <v>44815</v>
      </c>
      <c r="C22" s="31">
        <v>11.42</v>
      </c>
      <c r="D22" s="27">
        <f t="shared" si="3"/>
        <v>10.68</v>
      </c>
    </row>
    <row r="23" spans="1:4" s="9" customFormat="1" ht="12" customHeight="1" x14ac:dyDescent="0.3">
      <c r="A23" s="107"/>
      <c r="B23" s="29">
        <v>44821</v>
      </c>
      <c r="C23" s="30">
        <v>11.18</v>
      </c>
      <c r="D23" s="27">
        <f t="shared" si="3"/>
        <v>10.44</v>
      </c>
    </row>
    <row r="24" spans="1:4" s="9" customFormat="1" ht="12" customHeight="1" x14ac:dyDescent="0.3">
      <c r="A24" s="107" t="s">
        <v>26</v>
      </c>
      <c r="B24" s="29">
        <v>44841</v>
      </c>
      <c r="C24" s="31">
        <v>10.66</v>
      </c>
      <c r="D24" s="27">
        <f t="shared" ref="D24:D32" si="4">C24-0.74</f>
        <v>9.92</v>
      </c>
    </row>
    <row r="25" spans="1:4" s="9" customFormat="1" ht="12" customHeight="1" x14ac:dyDescent="0.3">
      <c r="A25" s="107"/>
      <c r="B25" s="29">
        <v>44848</v>
      </c>
      <c r="C25" s="31">
        <v>10.77</v>
      </c>
      <c r="D25" s="27">
        <f t="shared" si="4"/>
        <v>10.029999999999999</v>
      </c>
    </row>
    <row r="26" spans="1:4" s="9" customFormat="1" ht="12" customHeight="1" x14ac:dyDescent="0.3">
      <c r="A26" s="107"/>
      <c r="B26" s="29">
        <v>44855</v>
      </c>
      <c r="C26" s="30">
        <v>10.82</v>
      </c>
      <c r="D26" s="27">
        <f t="shared" si="4"/>
        <v>10.08</v>
      </c>
    </row>
    <row r="27" spans="1:4" s="9" customFormat="1" ht="12" customHeight="1" x14ac:dyDescent="0.3">
      <c r="A27" s="107"/>
      <c r="B27" s="29">
        <v>44862</v>
      </c>
      <c r="C27" s="31">
        <v>10.62</v>
      </c>
      <c r="D27" s="27">
        <f t="shared" si="4"/>
        <v>9.879999999999999</v>
      </c>
    </row>
    <row r="28" spans="1:4" s="9" customFormat="1" ht="12" customHeight="1" x14ac:dyDescent="0.3">
      <c r="A28" s="112" t="s">
        <v>27</v>
      </c>
      <c r="B28" s="29">
        <v>44870</v>
      </c>
      <c r="C28" s="30">
        <v>11.02</v>
      </c>
      <c r="D28" s="27">
        <f t="shared" si="4"/>
        <v>10.28</v>
      </c>
    </row>
    <row r="29" spans="1:4" s="9" customFormat="1" ht="12" customHeight="1" x14ac:dyDescent="0.3">
      <c r="A29" s="112"/>
      <c r="B29" s="29">
        <v>44876</v>
      </c>
      <c r="C29" s="30">
        <v>11.13</v>
      </c>
      <c r="D29" s="27">
        <f t="shared" si="4"/>
        <v>10.39</v>
      </c>
    </row>
    <row r="30" spans="1:4" s="9" customFormat="1" ht="12" customHeight="1" x14ac:dyDescent="0.3">
      <c r="A30" s="112"/>
      <c r="B30" s="29">
        <v>44883</v>
      </c>
      <c r="C30" s="33">
        <v>11.15</v>
      </c>
      <c r="D30" s="27">
        <f t="shared" si="4"/>
        <v>10.41</v>
      </c>
    </row>
    <row r="31" spans="1:4" s="9" customFormat="1" ht="12" customHeight="1" thickBot="1" x14ac:dyDescent="0.35">
      <c r="A31" s="112"/>
      <c r="B31" s="34">
        <v>44890</v>
      </c>
      <c r="C31" s="15">
        <v>11.26</v>
      </c>
      <c r="D31" s="35">
        <f t="shared" si="4"/>
        <v>10.52</v>
      </c>
    </row>
    <row r="32" spans="1:4" s="9" customFormat="1" ht="12" customHeight="1" x14ac:dyDescent="0.3">
      <c r="A32" s="123" t="s">
        <v>28</v>
      </c>
      <c r="B32" s="36">
        <v>44898</v>
      </c>
      <c r="C32" s="37">
        <v>11.38</v>
      </c>
      <c r="D32" s="38">
        <f t="shared" si="4"/>
        <v>10.64</v>
      </c>
    </row>
    <row r="33" spans="1:4" s="9" customFormat="1" ht="12" customHeight="1" thickBot="1" x14ac:dyDescent="0.35">
      <c r="A33" s="124"/>
      <c r="B33" s="29">
        <v>44911</v>
      </c>
      <c r="C33" s="33">
        <v>11.58</v>
      </c>
      <c r="D33" s="27">
        <f>C33-0.74</f>
        <v>10.84</v>
      </c>
    </row>
    <row r="34" spans="1:4" s="9" customFormat="1" ht="12" customHeight="1" x14ac:dyDescent="0.3">
      <c r="A34" s="123" t="s">
        <v>20</v>
      </c>
      <c r="B34" s="36">
        <v>44927</v>
      </c>
      <c r="C34" s="42">
        <v>11.86</v>
      </c>
      <c r="D34" s="38">
        <f t="shared" ref="D34:D37" si="5">C34-0.74</f>
        <v>11.12</v>
      </c>
    </row>
    <row r="35" spans="1:4" s="9" customFormat="1" ht="12" customHeight="1" thickBot="1" x14ac:dyDescent="0.35">
      <c r="A35" s="124"/>
      <c r="B35" s="29">
        <v>44932</v>
      </c>
      <c r="C35" s="17">
        <v>11.91</v>
      </c>
      <c r="D35" s="27">
        <f t="shared" si="5"/>
        <v>11.17</v>
      </c>
    </row>
    <row r="36" spans="1:4" s="9" customFormat="1" ht="12" customHeight="1" x14ac:dyDescent="0.3">
      <c r="A36" s="123" t="s">
        <v>29</v>
      </c>
      <c r="B36" s="36">
        <v>44960</v>
      </c>
      <c r="C36" s="43">
        <v>12.38</v>
      </c>
      <c r="D36" s="38">
        <f t="shared" si="5"/>
        <v>11.64</v>
      </c>
    </row>
    <row r="37" spans="1:4" s="9" customFormat="1" ht="12" customHeight="1" thickBot="1" x14ac:dyDescent="0.35">
      <c r="A37" s="124"/>
      <c r="B37" s="29">
        <v>44968</v>
      </c>
      <c r="C37" s="31">
        <v>12.45</v>
      </c>
      <c r="D37" s="27">
        <f t="shared" si="5"/>
        <v>11.709999999999999</v>
      </c>
    </row>
    <row r="38" spans="1:4" s="9" customFormat="1" ht="12" customHeight="1" x14ac:dyDescent="0.3">
      <c r="A38" s="135" t="s">
        <v>13</v>
      </c>
      <c r="B38" s="73">
        <v>44989</v>
      </c>
      <c r="C38" s="42">
        <v>12.74</v>
      </c>
      <c r="D38" s="38">
        <f>C38-0.74</f>
        <v>12</v>
      </c>
    </row>
    <row r="39" spans="1:4" s="9" customFormat="1" ht="12" customHeight="1" x14ac:dyDescent="0.3">
      <c r="A39" s="132"/>
      <c r="B39" s="29">
        <v>45009</v>
      </c>
      <c r="C39" s="15">
        <v>13.02</v>
      </c>
      <c r="D39" s="35">
        <f t="shared" ref="D39:D40" si="6">C39-0.74</f>
        <v>12.28</v>
      </c>
    </row>
    <row r="40" spans="1:4" s="9" customFormat="1" ht="12" customHeight="1" thickBot="1" x14ac:dyDescent="0.35">
      <c r="A40" s="133"/>
      <c r="B40" s="39">
        <v>45016</v>
      </c>
      <c r="C40" s="40">
        <v>13.11</v>
      </c>
      <c r="D40" s="41">
        <f t="shared" si="6"/>
        <v>12.37</v>
      </c>
    </row>
    <row r="41" spans="1:4" s="9" customFormat="1" ht="12" customHeight="1" thickBot="1" x14ac:dyDescent="0.35">
      <c r="A41" s="100"/>
      <c r="B41" s="39">
        <v>45045</v>
      </c>
      <c r="C41" s="40">
        <v>13.52</v>
      </c>
      <c r="D41" s="41">
        <f t="shared" ref="D41" si="7">C41-0.74</f>
        <v>12.78</v>
      </c>
    </row>
    <row r="42" spans="1:4" s="9" customFormat="1" ht="12" customHeight="1" x14ac:dyDescent="0.3">
      <c r="A42" s="134" t="s">
        <v>24</v>
      </c>
      <c r="B42" s="44">
        <v>45051</v>
      </c>
      <c r="C42" s="31">
        <v>13.6</v>
      </c>
      <c r="D42" s="35">
        <f t="shared" ref="D42:D43" si="8">C42-0.74</f>
        <v>12.86</v>
      </c>
    </row>
    <row r="43" spans="1:4" s="9" customFormat="1" ht="12" customHeight="1" x14ac:dyDescent="0.3">
      <c r="A43" s="134"/>
      <c r="B43" s="29">
        <v>45059</v>
      </c>
      <c r="C43" s="30">
        <v>13.45</v>
      </c>
      <c r="D43" s="35">
        <f t="shared" si="8"/>
        <v>12.709999999999999</v>
      </c>
    </row>
    <row r="44" spans="1:4" s="9" customFormat="1" ht="12" customHeight="1" x14ac:dyDescent="0.3">
      <c r="A44" s="132"/>
      <c r="B44" s="29">
        <v>45102</v>
      </c>
      <c r="C44" s="46">
        <v>14.12</v>
      </c>
      <c r="D44" s="27">
        <f t="shared" ref="D44:D45" si="9">C44-0.74</f>
        <v>13.379999999999999</v>
      </c>
    </row>
    <row r="45" spans="1:4" s="9" customFormat="1" ht="12" customHeight="1" thickBot="1" x14ac:dyDescent="0.35">
      <c r="A45" s="133"/>
      <c r="B45" s="47">
        <v>45107</v>
      </c>
      <c r="C45" s="12">
        <v>14.13</v>
      </c>
      <c r="D45" s="49">
        <f t="shared" si="9"/>
        <v>13.39</v>
      </c>
    </row>
    <row r="46" spans="1:4" s="9" customFormat="1" ht="12" customHeight="1" x14ac:dyDescent="0.3">
      <c r="A46" s="132"/>
      <c r="B46" s="29">
        <v>45130</v>
      </c>
      <c r="C46" s="46">
        <v>14.14</v>
      </c>
      <c r="D46" s="27">
        <f t="shared" ref="D46:D47" si="10">C46-0.74</f>
        <v>13.4</v>
      </c>
    </row>
    <row r="47" spans="1:4" s="9" customFormat="1" ht="12" customHeight="1" thickBot="1" x14ac:dyDescent="0.35">
      <c r="A47" s="133"/>
      <c r="B47" s="39">
        <v>45135</v>
      </c>
      <c r="C47" s="12">
        <v>14.15</v>
      </c>
      <c r="D47" s="41">
        <f t="shared" si="10"/>
        <v>13.41</v>
      </c>
    </row>
    <row r="48" spans="1:4" s="9" customFormat="1" ht="12" customHeight="1" x14ac:dyDescent="0.3">
      <c r="A48" s="104" t="s">
        <v>18</v>
      </c>
      <c r="B48" s="50">
        <v>45143</v>
      </c>
      <c r="C48" s="43">
        <v>14.13</v>
      </c>
      <c r="D48" s="27">
        <f t="shared" ref="D48:D49" si="11">C48-0.74</f>
        <v>13.39</v>
      </c>
    </row>
    <row r="49" spans="1:4" s="9" customFormat="1" ht="12" customHeight="1" thickBot="1" x14ac:dyDescent="0.35">
      <c r="A49" s="105"/>
      <c r="B49" s="52">
        <v>45163</v>
      </c>
      <c r="C49" s="12">
        <v>13.91</v>
      </c>
      <c r="D49" s="41">
        <f t="shared" si="11"/>
        <v>13.17</v>
      </c>
    </row>
  </sheetData>
  <mergeCells count="18">
    <mergeCell ref="A1:B1"/>
    <mergeCell ref="C1:D1"/>
    <mergeCell ref="A18:A20"/>
    <mergeCell ref="A32:A33"/>
    <mergeCell ref="A3:A4"/>
    <mergeCell ref="A5:A8"/>
    <mergeCell ref="A9:A12"/>
    <mergeCell ref="A13:A17"/>
    <mergeCell ref="A21:A23"/>
    <mergeCell ref="A48:A49"/>
    <mergeCell ref="A46:A47"/>
    <mergeCell ref="A34:A35"/>
    <mergeCell ref="A28:A31"/>
    <mergeCell ref="A24:A27"/>
    <mergeCell ref="A44:A45"/>
    <mergeCell ref="A42:A43"/>
    <mergeCell ref="A38:A40"/>
    <mergeCell ref="A36:A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>
      <selection activeCell="C1" sqref="C1:D1"/>
    </sheetView>
  </sheetViews>
  <sheetFormatPr baseColWidth="10" defaultColWidth="9.1796875" defaultRowHeight="14.5" x14ac:dyDescent="0.35"/>
  <cols>
    <col min="2" max="2" width="10.7265625" bestFit="1" customWidth="1"/>
    <col min="3" max="3" width="18.54296875" customWidth="1"/>
    <col min="4" max="4" width="22.7265625" customWidth="1"/>
    <col min="12" max="12" width="9.1796875" customWidth="1"/>
  </cols>
  <sheetData>
    <row r="1" spans="1:5" s="2" customFormat="1" ht="14.15" customHeight="1" x14ac:dyDescent="0.3">
      <c r="A1" s="119" t="s">
        <v>45</v>
      </c>
      <c r="B1" s="119"/>
      <c r="C1" s="131" t="s">
        <v>53</v>
      </c>
      <c r="D1" s="131"/>
      <c r="E1" s="4" t="s">
        <v>31</v>
      </c>
    </row>
    <row r="2" spans="1:5" s="1" customFormat="1" ht="14.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11" t="s">
        <v>14</v>
      </c>
      <c r="B3" s="29">
        <v>44677</v>
      </c>
      <c r="C3" s="75">
        <v>10.26</v>
      </c>
      <c r="D3" s="72">
        <f>SUM(C3-0.75)</f>
        <v>9.51</v>
      </c>
    </row>
    <row r="4" spans="1:5" s="9" customFormat="1" ht="12" customHeight="1" x14ac:dyDescent="0.3">
      <c r="A4" s="112"/>
      <c r="B4" s="29">
        <v>44681</v>
      </c>
      <c r="C4" s="53">
        <v>10.26</v>
      </c>
      <c r="D4" s="27">
        <f>SUM(C4-0.75)</f>
        <v>9.51</v>
      </c>
    </row>
    <row r="5" spans="1:5" s="9" customFormat="1" ht="12" customHeight="1" x14ac:dyDescent="0.3">
      <c r="A5" s="115" t="s">
        <v>24</v>
      </c>
      <c r="B5" s="29">
        <v>44688</v>
      </c>
      <c r="C5" s="58">
        <v>10.43</v>
      </c>
      <c r="D5" s="27">
        <f t="shared" ref="D5:D6" si="0">SUM(C5-0.75)</f>
        <v>9.68</v>
      </c>
    </row>
    <row r="6" spans="1:5" s="9" customFormat="1" ht="12" customHeight="1" x14ac:dyDescent="0.3">
      <c r="A6" s="116"/>
      <c r="B6" s="29">
        <v>44696</v>
      </c>
      <c r="C6" s="58">
        <v>10.49</v>
      </c>
      <c r="D6" s="27">
        <f t="shared" si="0"/>
        <v>9.74</v>
      </c>
    </row>
    <row r="7" spans="1:5" s="9" customFormat="1" ht="12" customHeight="1" x14ac:dyDescent="0.3">
      <c r="A7" s="116"/>
      <c r="B7" s="29">
        <v>44701</v>
      </c>
      <c r="C7" s="53">
        <v>10.58</v>
      </c>
      <c r="D7" s="31">
        <f>C7-0.75</f>
        <v>9.83</v>
      </c>
    </row>
    <row r="8" spans="1:5" s="9" customFormat="1" ht="12" customHeight="1" x14ac:dyDescent="0.3">
      <c r="A8" s="137"/>
      <c r="B8" s="29">
        <v>44708</v>
      </c>
      <c r="C8" s="53">
        <v>10.68</v>
      </c>
      <c r="D8" s="31">
        <f>C8-0.75</f>
        <v>9.93</v>
      </c>
    </row>
    <row r="9" spans="1:5" s="9" customFormat="1" ht="12" customHeight="1" x14ac:dyDescent="0.3">
      <c r="A9" s="107" t="s">
        <v>16</v>
      </c>
      <c r="B9" s="29">
        <v>44715</v>
      </c>
      <c r="C9" s="59">
        <v>10.74</v>
      </c>
      <c r="D9" s="27">
        <f t="shared" ref="D9:D15" si="1">C9-0.75</f>
        <v>9.99</v>
      </c>
    </row>
    <row r="10" spans="1:5" s="9" customFormat="1" ht="12" customHeight="1" x14ac:dyDescent="0.3">
      <c r="A10" s="107"/>
      <c r="B10" s="29">
        <v>44722</v>
      </c>
      <c r="C10" s="53">
        <v>10.81</v>
      </c>
      <c r="D10" s="27">
        <f t="shared" si="1"/>
        <v>10.06</v>
      </c>
    </row>
    <row r="11" spans="1:5" s="9" customFormat="1" ht="12" customHeight="1" x14ac:dyDescent="0.3">
      <c r="A11" s="107"/>
      <c r="B11" s="29">
        <v>44729</v>
      </c>
      <c r="C11" s="58">
        <v>10.79</v>
      </c>
      <c r="D11" s="27">
        <f t="shared" si="1"/>
        <v>10.039999999999999</v>
      </c>
    </row>
    <row r="12" spans="1:5" s="9" customFormat="1" ht="12" customHeight="1" x14ac:dyDescent="0.3">
      <c r="A12" s="107"/>
      <c r="B12" s="29">
        <v>44736</v>
      </c>
      <c r="C12" s="53">
        <v>10.61</v>
      </c>
      <c r="D12" s="27">
        <f t="shared" si="1"/>
        <v>9.86</v>
      </c>
    </row>
    <row r="13" spans="1:5" s="9" customFormat="1" ht="12" customHeight="1" x14ac:dyDescent="0.3">
      <c r="A13" s="107" t="s">
        <v>3</v>
      </c>
      <c r="B13" s="29">
        <v>44745</v>
      </c>
      <c r="C13" s="59">
        <v>10.47</v>
      </c>
      <c r="D13" s="27">
        <f t="shared" si="1"/>
        <v>9.7200000000000006</v>
      </c>
    </row>
    <row r="14" spans="1:5" s="9" customFormat="1" ht="12" customHeight="1" x14ac:dyDescent="0.3">
      <c r="A14" s="107"/>
      <c r="B14" s="29">
        <v>44750</v>
      </c>
      <c r="C14" s="55">
        <v>10.199999999999999</v>
      </c>
      <c r="D14" s="27">
        <f t="shared" si="1"/>
        <v>9.4499999999999993</v>
      </c>
    </row>
    <row r="15" spans="1:5" s="9" customFormat="1" ht="12" customHeight="1" x14ac:dyDescent="0.3">
      <c r="A15" s="107"/>
      <c r="B15" s="29">
        <v>44758</v>
      </c>
      <c r="C15" s="58">
        <v>10.11</v>
      </c>
      <c r="D15" s="27">
        <f t="shared" si="1"/>
        <v>9.36</v>
      </c>
    </row>
    <row r="16" spans="1:5" s="9" customFormat="1" ht="12" customHeight="1" x14ac:dyDescent="0.3">
      <c r="A16" s="107"/>
      <c r="B16" s="29">
        <v>44764</v>
      </c>
      <c r="C16" s="53">
        <v>10.039999999999999</v>
      </c>
      <c r="D16" s="27">
        <f t="shared" ref="D16" si="2">C16-0.75</f>
        <v>9.2899999999999991</v>
      </c>
    </row>
    <row r="17" spans="1:4" s="9" customFormat="1" ht="12" customHeight="1" x14ac:dyDescent="0.3">
      <c r="A17" s="107"/>
      <c r="B17" s="29">
        <v>44772</v>
      </c>
      <c r="C17" s="53">
        <v>9.77</v>
      </c>
      <c r="D17" s="27">
        <f>C17-0.75</f>
        <v>9.02</v>
      </c>
    </row>
    <row r="18" spans="1:4" s="9" customFormat="1" ht="12" customHeight="1" x14ac:dyDescent="0.3">
      <c r="A18" s="107" t="s">
        <v>18</v>
      </c>
      <c r="B18" s="29">
        <v>44780</v>
      </c>
      <c r="C18" s="59">
        <v>9.6199999999999992</v>
      </c>
      <c r="D18" s="27">
        <f t="shared" ref="D18:D23" si="3">C18-0.75</f>
        <v>8.8699999999999992</v>
      </c>
    </row>
    <row r="19" spans="1:4" s="9" customFormat="1" ht="12" customHeight="1" x14ac:dyDescent="0.3">
      <c r="A19" s="107"/>
      <c r="B19" s="29">
        <v>44785</v>
      </c>
      <c r="C19" s="55">
        <v>9.4</v>
      </c>
      <c r="D19" s="27">
        <f t="shared" si="3"/>
        <v>8.65</v>
      </c>
    </row>
    <row r="20" spans="1:4" s="9" customFormat="1" ht="12" customHeight="1" x14ac:dyDescent="0.3">
      <c r="A20" s="107"/>
      <c r="B20" s="29">
        <v>44798</v>
      </c>
      <c r="C20" s="53">
        <v>6.82</v>
      </c>
      <c r="D20" s="27">
        <f t="shared" si="3"/>
        <v>6.07</v>
      </c>
    </row>
    <row r="21" spans="1:4" s="9" customFormat="1" ht="12" customHeight="1" x14ac:dyDescent="0.3">
      <c r="A21" s="107" t="s">
        <v>25</v>
      </c>
      <c r="B21" s="29">
        <v>44806</v>
      </c>
      <c r="C21" s="59">
        <v>4.43</v>
      </c>
      <c r="D21" s="27">
        <f t="shared" si="3"/>
        <v>3.6799999999999997</v>
      </c>
    </row>
    <row r="22" spans="1:4" s="9" customFormat="1" ht="12" customHeight="1" x14ac:dyDescent="0.3">
      <c r="A22" s="107"/>
      <c r="B22" s="29">
        <v>44815</v>
      </c>
      <c r="C22" s="59">
        <v>4.59</v>
      </c>
      <c r="D22" s="27">
        <f t="shared" si="3"/>
        <v>3.84</v>
      </c>
    </row>
    <row r="23" spans="1:4" s="9" customFormat="1" ht="12" customHeight="1" x14ac:dyDescent="0.3">
      <c r="A23" s="107"/>
      <c r="B23" s="29">
        <v>44821</v>
      </c>
      <c r="C23" s="58">
        <v>3.95</v>
      </c>
      <c r="D23" s="27">
        <f t="shared" si="3"/>
        <v>3.2</v>
      </c>
    </row>
    <row r="24" spans="1:4" s="9" customFormat="1" ht="12" customHeight="1" x14ac:dyDescent="0.3">
      <c r="A24" s="107" t="s">
        <v>26</v>
      </c>
      <c r="B24" s="29">
        <v>44841</v>
      </c>
      <c r="C24" s="59">
        <v>3.65</v>
      </c>
      <c r="D24" s="27">
        <f>C24-0.75</f>
        <v>2.9</v>
      </c>
    </row>
    <row r="25" spans="1:4" s="9" customFormat="1" ht="12" customHeight="1" x14ac:dyDescent="0.3">
      <c r="A25" s="107"/>
      <c r="B25" s="29">
        <v>44848</v>
      </c>
      <c r="C25" s="59">
        <v>4.0599999999999996</v>
      </c>
      <c r="D25" s="27">
        <f t="shared" ref="D25:D32" si="4">C25-0.75</f>
        <v>3.3099999999999996</v>
      </c>
    </row>
    <row r="26" spans="1:4" s="9" customFormat="1" ht="12" customHeight="1" x14ac:dyDescent="0.3">
      <c r="A26" s="107"/>
      <c r="B26" s="29">
        <v>44855</v>
      </c>
      <c r="C26" s="58">
        <v>4.4000000000000004</v>
      </c>
      <c r="D26" s="27">
        <f t="shared" si="4"/>
        <v>3.6500000000000004</v>
      </c>
    </row>
    <row r="27" spans="1:4" s="9" customFormat="1" ht="12" customHeight="1" x14ac:dyDescent="0.3">
      <c r="A27" s="107"/>
      <c r="B27" s="29">
        <v>44862</v>
      </c>
      <c r="C27" s="59">
        <v>4.78</v>
      </c>
      <c r="D27" s="27">
        <f>C27-0.75</f>
        <v>4.03</v>
      </c>
    </row>
    <row r="28" spans="1:4" s="9" customFormat="1" ht="12" customHeight="1" x14ac:dyDescent="0.3">
      <c r="A28" s="112" t="s">
        <v>27</v>
      </c>
      <c r="B28" s="29">
        <v>44870</v>
      </c>
      <c r="C28" s="58">
        <v>5.23</v>
      </c>
      <c r="D28" s="27">
        <f t="shared" si="4"/>
        <v>4.4800000000000004</v>
      </c>
    </row>
    <row r="29" spans="1:4" s="9" customFormat="1" ht="12" customHeight="1" x14ac:dyDescent="0.3">
      <c r="A29" s="112"/>
      <c r="B29" s="29">
        <v>44876</v>
      </c>
      <c r="C29" s="58">
        <v>5.66</v>
      </c>
      <c r="D29" s="27">
        <f t="shared" si="4"/>
        <v>4.91</v>
      </c>
    </row>
    <row r="30" spans="1:4" s="9" customFormat="1" ht="12" customHeight="1" x14ac:dyDescent="0.3">
      <c r="A30" s="112"/>
      <c r="B30" s="29">
        <v>44883</v>
      </c>
      <c r="C30" s="60">
        <v>5.87</v>
      </c>
      <c r="D30" s="27">
        <f t="shared" si="4"/>
        <v>5.12</v>
      </c>
    </row>
    <row r="31" spans="1:4" s="9" customFormat="1" ht="12" customHeight="1" thickBot="1" x14ac:dyDescent="0.35">
      <c r="A31" s="112"/>
      <c r="B31" s="34">
        <v>44890</v>
      </c>
      <c r="C31" s="15">
        <v>6.23</v>
      </c>
      <c r="D31" s="35">
        <f t="shared" si="4"/>
        <v>5.48</v>
      </c>
    </row>
    <row r="32" spans="1:4" s="9" customFormat="1" ht="12" customHeight="1" x14ac:dyDescent="0.3">
      <c r="A32" s="104" t="s">
        <v>28</v>
      </c>
      <c r="B32" s="36">
        <v>44898</v>
      </c>
      <c r="C32" s="76">
        <v>6.58</v>
      </c>
      <c r="D32" s="38">
        <f t="shared" si="4"/>
        <v>5.83</v>
      </c>
    </row>
    <row r="33" spans="1:4" s="9" customFormat="1" ht="12" customHeight="1" thickBot="1" x14ac:dyDescent="0.35">
      <c r="A33" s="106"/>
      <c r="B33" s="29">
        <v>44911</v>
      </c>
      <c r="C33" s="60">
        <v>7.13</v>
      </c>
      <c r="D33" s="27">
        <f>C33-0.75</f>
        <v>6.38</v>
      </c>
    </row>
    <row r="34" spans="1:4" s="9" customFormat="1" ht="12" customHeight="1" x14ac:dyDescent="0.3">
      <c r="A34" s="123" t="s">
        <v>20</v>
      </c>
      <c r="B34" s="36">
        <v>44927</v>
      </c>
      <c r="C34" s="42">
        <v>7.73</v>
      </c>
      <c r="D34" s="38">
        <f t="shared" ref="D34:D37" si="5">C34-0.75</f>
        <v>6.98</v>
      </c>
    </row>
    <row r="35" spans="1:4" s="9" customFormat="1" ht="12" customHeight="1" thickBot="1" x14ac:dyDescent="0.35">
      <c r="A35" s="124"/>
      <c r="B35" s="29">
        <v>44932</v>
      </c>
      <c r="C35" s="17">
        <v>7.87</v>
      </c>
      <c r="D35" s="27">
        <f t="shared" si="5"/>
        <v>7.12</v>
      </c>
    </row>
    <row r="36" spans="1:4" s="9" customFormat="1" ht="12" customHeight="1" x14ac:dyDescent="0.3">
      <c r="A36" s="123" t="s">
        <v>29</v>
      </c>
      <c r="B36" s="36">
        <v>44960</v>
      </c>
      <c r="C36" s="43">
        <v>8.69</v>
      </c>
      <c r="D36" s="38">
        <f t="shared" si="5"/>
        <v>7.9399999999999995</v>
      </c>
    </row>
    <row r="37" spans="1:4" s="9" customFormat="1" ht="12" customHeight="1" x14ac:dyDescent="0.3">
      <c r="A37" s="124"/>
      <c r="B37" s="29">
        <v>44968</v>
      </c>
      <c r="C37" s="31">
        <v>8.85</v>
      </c>
      <c r="D37" s="27">
        <f t="shared" si="5"/>
        <v>8.1</v>
      </c>
    </row>
    <row r="38" spans="1:4" s="9" customFormat="1" ht="12" customHeight="1" x14ac:dyDescent="0.3">
      <c r="A38" s="136" t="s">
        <v>13</v>
      </c>
      <c r="B38" s="74">
        <v>44989</v>
      </c>
      <c r="C38" s="19">
        <v>9.2899999999999991</v>
      </c>
      <c r="D38" s="77">
        <f>C38-0.75</f>
        <v>8.5399999999999991</v>
      </c>
    </row>
    <row r="39" spans="1:4" s="9" customFormat="1" ht="12" customHeight="1" x14ac:dyDescent="0.3">
      <c r="A39" s="126"/>
      <c r="B39" s="34">
        <v>45009</v>
      </c>
      <c r="C39" s="15">
        <v>9.69</v>
      </c>
      <c r="D39" s="35">
        <f t="shared" ref="D39:D40" si="6">C39-0.75</f>
        <v>8.94</v>
      </c>
    </row>
    <row r="40" spans="1:4" s="9" customFormat="1" ht="12" customHeight="1" thickBot="1" x14ac:dyDescent="0.35">
      <c r="A40" s="125"/>
      <c r="B40" s="39">
        <v>45016</v>
      </c>
      <c r="C40" s="62">
        <v>9.82</v>
      </c>
      <c r="D40" s="41">
        <f t="shared" si="6"/>
        <v>9.07</v>
      </c>
    </row>
    <row r="41" spans="1:4" s="9" customFormat="1" ht="12" customHeight="1" thickBot="1" x14ac:dyDescent="0.35">
      <c r="A41" s="99"/>
      <c r="B41" s="34">
        <v>45045</v>
      </c>
      <c r="C41" s="61">
        <v>10.3</v>
      </c>
      <c r="D41" s="35">
        <f t="shared" ref="D41:D43" si="7">C41-0.75</f>
        <v>9.5500000000000007</v>
      </c>
    </row>
    <row r="42" spans="1:4" s="9" customFormat="1" ht="12" customHeight="1" x14ac:dyDescent="0.3">
      <c r="A42" s="123" t="s">
        <v>24</v>
      </c>
      <c r="B42" s="44">
        <v>45051</v>
      </c>
      <c r="C42" s="43">
        <v>10.34</v>
      </c>
      <c r="D42" s="38">
        <f t="shared" si="7"/>
        <v>9.59</v>
      </c>
    </row>
    <row r="43" spans="1:4" s="9" customFormat="1" ht="12" customHeight="1" x14ac:dyDescent="0.3">
      <c r="A43" s="124"/>
      <c r="B43" s="29">
        <v>45059</v>
      </c>
      <c r="C43" s="31">
        <v>10.49</v>
      </c>
      <c r="D43" s="27">
        <f t="shared" si="7"/>
        <v>9.74</v>
      </c>
    </row>
    <row r="44" spans="1:4" s="9" customFormat="1" ht="12" customHeight="1" x14ac:dyDescent="0.3">
      <c r="A44" s="126"/>
      <c r="B44" s="29">
        <v>45102</v>
      </c>
      <c r="C44" s="46">
        <v>10.91</v>
      </c>
      <c r="D44" s="27">
        <f t="shared" ref="D44:D47" si="8">C44-0.75</f>
        <v>10.16</v>
      </c>
    </row>
    <row r="45" spans="1:4" s="9" customFormat="1" ht="12" customHeight="1" x14ac:dyDescent="0.3">
      <c r="A45" s="126"/>
      <c r="B45" s="63">
        <v>45107</v>
      </c>
      <c r="C45" s="78">
        <v>10.89</v>
      </c>
      <c r="D45" s="51">
        <f t="shared" si="8"/>
        <v>10.14</v>
      </c>
    </row>
    <row r="46" spans="1:4" s="9" customFormat="1" ht="12" customHeight="1" x14ac:dyDescent="0.3">
      <c r="A46" s="126"/>
      <c r="B46" s="29">
        <v>45130</v>
      </c>
      <c r="C46" s="46">
        <v>10.85</v>
      </c>
      <c r="D46" s="27">
        <f t="shared" si="8"/>
        <v>10.1</v>
      </c>
    </row>
    <row r="47" spans="1:4" s="9" customFormat="1" ht="12" customHeight="1" thickBot="1" x14ac:dyDescent="0.35">
      <c r="A47" s="125"/>
      <c r="B47" s="39">
        <v>45135</v>
      </c>
      <c r="C47" s="65">
        <v>10.86</v>
      </c>
      <c r="D47" s="41">
        <f t="shared" si="8"/>
        <v>10.11</v>
      </c>
    </row>
    <row r="48" spans="1:4" s="9" customFormat="1" ht="12" customHeight="1" x14ac:dyDescent="0.3">
      <c r="A48" s="104" t="s">
        <v>18</v>
      </c>
      <c r="B48" s="50">
        <v>45143</v>
      </c>
      <c r="C48" s="43">
        <v>10.84</v>
      </c>
      <c r="D48" s="27">
        <f t="shared" ref="D48:D49" si="9">C48-0.75</f>
        <v>10.09</v>
      </c>
    </row>
    <row r="49" spans="1:4" s="9" customFormat="1" ht="12" customHeight="1" thickBot="1" x14ac:dyDescent="0.35">
      <c r="A49" s="105"/>
      <c r="B49" s="52">
        <v>45163</v>
      </c>
      <c r="C49" s="65">
        <v>9.9600000000000009</v>
      </c>
      <c r="D49" s="41">
        <f t="shared" si="9"/>
        <v>9.2100000000000009</v>
      </c>
    </row>
  </sheetData>
  <mergeCells count="18">
    <mergeCell ref="A1:B1"/>
    <mergeCell ref="C1:D1"/>
    <mergeCell ref="A3:A4"/>
    <mergeCell ref="A9:A12"/>
    <mergeCell ref="A13:A17"/>
    <mergeCell ref="A5:A8"/>
    <mergeCell ref="A18:A20"/>
    <mergeCell ref="A32:A33"/>
    <mergeCell ref="A28:A31"/>
    <mergeCell ref="A24:A27"/>
    <mergeCell ref="A21:A23"/>
    <mergeCell ref="A38:A40"/>
    <mergeCell ref="A36:A37"/>
    <mergeCell ref="A48:A49"/>
    <mergeCell ref="A46:A47"/>
    <mergeCell ref="A34:A35"/>
    <mergeCell ref="A44:A45"/>
    <mergeCell ref="A42:A4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"/>
  <sheetViews>
    <sheetView workbookViewId="0">
      <selection activeCell="C1" sqref="C1:D1"/>
    </sheetView>
  </sheetViews>
  <sheetFormatPr baseColWidth="10" defaultColWidth="9.1796875" defaultRowHeight="14.5" x14ac:dyDescent="0.35"/>
  <cols>
    <col min="2" max="2" width="11.1796875" customWidth="1"/>
    <col min="3" max="3" width="21.54296875" customWidth="1"/>
    <col min="4" max="4" width="22.81640625" customWidth="1"/>
  </cols>
  <sheetData>
    <row r="1" spans="1:5" s="2" customFormat="1" ht="14.15" customHeight="1" x14ac:dyDescent="0.3">
      <c r="A1" s="119" t="s">
        <v>45</v>
      </c>
      <c r="B1" s="119"/>
      <c r="C1" s="131" t="s">
        <v>53</v>
      </c>
      <c r="D1" s="131"/>
      <c r="E1" s="4" t="s">
        <v>32</v>
      </c>
    </row>
    <row r="2" spans="1:5" s="1" customFormat="1" ht="14.15" customHeight="1" thickBot="1" x14ac:dyDescent="0.35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04" t="s">
        <v>14</v>
      </c>
      <c r="B3" s="36">
        <v>44677</v>
      </c>
      <c r="C3" s="79">
        <v>4.3499999999999996</v>
      </c>
      <c r="D3" s="80">
        <f>C3-0.71</f>
        <v>3.6399999999999997</v>
      </c>
    </row>
    <row r="4" spans="1:5" s="9" customFormat="1" ht="12" customHeight="1" thickBot="1" x14ac:dyDescent="0.35">
      <c r="A4" s="105"/>
      <c r="B4" s="39">
        <v>44681</v>
      </c>
      <c r="C4" s="62">
        <v>4.37</v>
      </c>
      <c r="D4" s="12">
        <f>C4-0.71</f>
        <v>3.66</v>
      </c>
    </row>
    <row r="5" spans="1:5" s="9" customFormat="1" ht="12" customHeight="1" x14ac:dyDescent="0.3">
      <c r="A5" s="142" t="s">
        <v>24</v>
      </c>
      <c r="B5" s="81">
        <v>44688</v>
      </c>
      <c r="C5" s="82">
        <v>4.33</v>
      </c>
      <c r="D5" s="43">
        <f t="shared" ref="D5:D17" si="0">C5-0.71</f>
        <v>3.62</v>
      </c>
    </row>
    <row r="6" spans="1:5" s="9" customFormat="1" ht="12" customHeight="1" x14ac:dyDescent="0.3">
      <c r="A6" s="122"/>
      <c r="B6" s="20">
        <v>44696</v>
      </c>
      <c r="C6" s="53">
        <v>4.29</v>
      </c>
      <c r="D6" s="31">
        <f t="shared" si="0"/>
        <v>3.58</v>
      </c>
    </row>
    <row r="7" spans="1:5" s="9" customFormat="1" ht="12" customHeight="1" x14ac:dyDescent="0.3">
      <c r="A7" s="122"/>
      <c r="B7" s="29">
        <v>44701</v>
      </c>
      <c r="C7" s="53">
        <v>4.3099999999999996</v>
      </c>
      <c r="D7" s="31">
        <f t="shared" si="0"/>
        <v>3.5999999999999996</v>
      </c>
    </row>
    <row r="8" spans="1:5" s="9" customFormat="1" ht="12" customHeight="1" thickBot="1" x14ac:dyDescent="0.35">
      <c r="A8" s="143"/>
      <c r="B8" s="39">
        <v>44708</v>
      </c>
      <c r="C8" s="62">
        <v>4.1900000000000004</v>
      </c>
      <c r="D8" s="12">
        <f t="shared" si="0"/>
        <v>3.4800000000000004</v>
      </c>
    </row>
    <row r="9" spans="1:5" s="9" customFormat="1" ht="12" customHeight="1" x14ac:dyDescent="0.3">
      <c r="A9" s="123" t="s">
        <v>16</v>
      </c>
      <c r="B9" s="36">
        <v>44716</v>
      </c>
      <c r="C9" s="64">
        <v>4.1900000000000004</v>
      </c>
      <c r="D9" s="38">
        <f t="shared" si="0"/>
        <v>3.4800000000000004</v>
      </c>
    </row>
    <row r="10" spans="1:5" s="9" customFormat="1" ht="12" customHeight="1" x14ac:dyDescent="0.3">
      <c r="A10" s="124"/>
      <c r="B10" s="29">
        <v>44722</v>
      </c>
      <c r="C10" s="53">
        <v>4.21</v>
      </c>
      <c r="D10" s="27">
        <f t="shared" si="0"/>
        <v>3.5</v>
      </c>
    </row>
    <row r="11" spans="1:5" s="9" customFormat="1" ht="12" customHeight="1" x14ac:dyDescent="0.3">
      <c r="A11" s="124"/>
      <c r="B11" s="29">
        <v>44729</v>
      </c>
      <c r="C11" s="58">
        <v>3.19</v>
      </c>
      <c r="D11" s="27">
        <f t="shared" si="0"/>
        <v>2.48</v>
      </c>
    </row>
    <row r="12" spans="1:5" s="9" customFormat="1" ht="12" customHeight="1" thickBot="1" x14ac:dyDescent="0.35">
      <c r="A12" s="126"/>
      <c r="B12" s="34">
        <v>44736</v>
      </c>
      <c r="C12" s="61">
        <v>1.93</v>
      </c>
      <c r="D12" s="35">
        <f t="shared" si="0"/>
        <v>1.22</v>
      </c>
    </row>
    <row r="13" spans="1:5" s="9" customFormat="1" ht="12" customHeight="1" x14ac:dyDescent="0.3">
      <c r="A13" s="123" t="s">
        <v>3</v>
      </c>
      <c r="B13" s="36">
        <v>44745</v>
      </c>
      <c r="C13" s="64">
        <v>1.25</v>
      </c>
      <c r="D13" s="38">
        <f t="shared" si="0"/>
        <v>0.54</v>
      </c>
    </row>
    <row r="14" spans="1:5" s="9" customFormat="1" ht="12" customHeight="1" x14ac:dyDescent="0.3">
      <c r="A14" s="124"/>
      <c r="B14" s="29">
        <v>44751</v>
      </c>
      <c r="C14" s="53">
        <v>0.76</v>
      </c>
      <c r="D14" s="27">
        <f t="shared" si="0"/>
        <v>5.0000000000000044E-2</v>
      </c>
    </row>
    <row r="15" spans="1:5" s="9" customFormat="1" ht="12" customHeight="1" x14ac:dyDescent="0.3">
      <c r="A15" s="124"/>
      <c r="B15" s="29">
        <v>44758</v>
      </c>
      <c r="C15" s="58">
        <v>0.95</v>
      </c>
      <c r="D15" s="27">
        <f t="shared" si="0"/>
        <v>0.24</v>
      </c>
    </row>
    <row r="16" spans="1:5" s="9" customFormat="1" ht="12" customHeight="1" x14ac:dyDescent="0.3">
      <c r="A16" s="124"/>
      <c r="B16" s="29">
        <v>44764</v>
      </c>
      <c r="C16" s="53">
        <v>1.05</v>
      </c>
      <c r="D16" s="27">
        <f t="shared" ref="D16" si="1">C16-0.71</f>
        <v>0.34000000000000008</v>
      </c>
    </row>
    <row r="17" spans="1:4" s="9" customFormat="1" ht="12" customHeight="1" thickBot="1" x14ac:dyDescent="0.35">
      <c r="A17" s="125"/>
      <c r="B17" s="39">
        <v>44772</v>
      </c>
      <c r="C17" s="62">
        <v>0.8</v>
      </c>
      <c r="D17" s="41">
        <f t="shared" si="0"/>
        <v>9.000000000000008E-2</v>
      </c>
    </row>
    <row r="18" spans="1:4" s="9" customFormat="1" ht="12" customHeight="1" x14ac:dyDescent="0.3">
      <c r="A18" s="123" t="s">
        <v>18</v>
      </c>
      <c r="B18" s="36">
        <v>44780</v>
      </c>
      <c r="C18" s="64">
        <v>0.76</v>
      </c>
      <c r="D18" s="38">
        <f t="shared" ref="D18:D23" si="2">C18-0.71</f>
        <v>5.0000000000000044E-2</v>
      </c>
    </row>
    <row r="19" spans="1:4" s="9" customFormat="1" ht="12" customHeight="1" x14ac:dyDescent="0.3">
      <c r="A19" s="124"/>
      <c r="B19" s="29">
        <v>44785</v>
      </c>
      <c r="C19" s="53">
        <v>0.73</v>
      </c>
      <c r="D19" s="27">
        <f t="shared" si="2"/>
        <v>2.0000000000000018E-2</v>
      </c>
    </row>
    <row r="20" spans="1:4" s="9" customFormat="1" ht="12" customHeight="1" thickBot="1" x14ac:dyDescent="0.35">
      <c r="A20" s="125"/>
      <c r="B20" s="39">
        <v>44798</v>
      </c>
      <c r="C20" s="83">
        <v>0.3</v>
      </c>
      <c r="D20" s="41">
        <f t="shared" si="2"/>
        <v>-0.41</v>
      </c>
    </row>
    <row r="21" spans="1:4" s="9" customFormat="1" ht="12" customHeight="1" x14ac:dyDescent="0.3">
      <c r="A21" s="123" t="s">
        <v>25</v>
      </c>
      <c r="B21" s="36">
        <v>44806</v>
      </c>
      <c r="C21" s="64">
        <v>0.14000000000000001</v>
      </c>
      <c r="D21" s="38">
        <f t="shared" si="2"/>
        <v>-0.56999999999999995</v>
      </c>
    </row>
    <row r="22" spans="1:4" s="9" customFormat="1" ht="12" customHeight="1" x14ac:dyDescent="0.3">
      <c r="A22" s="124"/>
      <c r="B22" s="29">
        <v>44815</v>
      </c>
      <c r="C22" s="59">
        <v>0.18</v>
      </c>
      <c r="D22" s="27">
        <f t="shared" si="2"/>
        <v>-0.53</v>
      </c>
    </row>
    <row r="23" spans="1:4" s="9" customFormat="1" ht="12" customHeight="1" thickBot="1" x14ac:dyDescent="0.35">
      <c r="A23" s="124"/>
      <c r="B23" s="29">
        <v>44821</v>
      </c>
      <c r="C23" s="58">
        <v>0.15</v>
      </c>
      <c r="D23" s="27">
        <f t="shared" si="2"/>
        <v>-0.55999999999999994</v>
      </c>
    </row>
    <row r="24" spans="1:4" s="9" customFormat="1" ht="12" customHeight="1" x14ac:dyDescent="0.3">
      <c r="A24" s="123" t="s">
        <v>26</v>
      </c>
      <c r="B24" s="36">
        <v>44841</v>
      </c>
      <c r="C24" s="64">
        <v>0.37</v>
      </c>
      <c r="D24" s="38">
        <f t="shared" ref="D24:D32" si="3">C24-0.71</f>
        <v>-0.33999999999999997</v>
      </c>
    </row>
    <row r="25" spans="1:4" s="9" customFormat="1" ht="12" customHeight="1" x14ac:dyDescent="0.3">
      <c r="A25" s="124"/>
      <c r="B25" s="29">
        <v>44848</v>
      </c>
      <c r="C25" s="59">
        <v>0.59</v>
      </c>
      <c r="D25" s="27">
        <f t="shared" si="3"/>
        <v>-0.12</v>
      </c>
    </row>
    <row r="26" spans="1:4" s="9" customFormat="1" ht="12" customHeight="1" x14ac:dyDescent="0.3">
      <c r="A26" s="124"/>
      <c r="B26" s="29">
        <v>44855</v>
      </c>
      <c r="C26" s="58">
        <v>0.71</v>
      </c>
      <c r="D26" s="27">
        <f t="shared" si="3"/>
        <v>0</v>
      </c>
    </row>
    <row r="27" spans="1:4" s="9" customFormat="1" ht="12" customHeight="1" thickBot="1" x14ac:dyDescent="0.35">
      <c r="A27" s="125"/>
      <c r="B27" s="39">
        <v>44862</v>
      </c>
      <c r="C27" s="65">
        <v>0.94</v>
      </c>
      <c r="D27" s="41">
        <f t="shared" si="3"/>
        <v>0.22999999999999998</v>
      </c>
    </row>
    <row r="28" spans="1:4" s="9" customFormat="1" ht="12" customHeight="1" x14ac:dyDescent="0.3">
      <c r="A28" s="104" t="s">
        <v>27</v>
      </c>
      <c r="B28" s="36">
        <v>44870</v>
      </c>
      <c r="C28" s="76">
        <v>1.23</v>
      </c>
      <c r="D28" s="38">
        <f t="shared" si="3"/>
        <v>0.52</v>
      </c>
    </row>
    <row r="29" spans="1:4" s="9" customFormat="1" ht="12" customHeight="1" x14ac:dyDescent="0.3">
      <c r="A29" s="106"/>
      <c r="B29" s="29">
        <v>44876</v>
      </c>
      <c r="C29" s="58">
        <v>1.37</v>
      </c>
      <c r="D29" s="27">
        <f t="shared" si="3"/>
        <v>0.66000000000000014</v>
      </c>
    </row>
    <row r="30" spans="1:4" s="9" customFormat="1" ht="12" customHeight="1" x14ac:dyDescent="0.3">
      <c r="A30" s="106"/>
      <c r="B30" s="29">
        <v>44883</v>
      </c>
      <c r="C30" s="60">
        <v>1.45</v>
      </c>
      <c r="D30" s="27">
        <f t="shared" si="3"/>
        <v>0.74</v>
      </c>
    </row>
    <row r="31" spans="1:4" s="9" customFormat="1" ht="12" customHeight="1" thickBot="1" x14ac:dyDescent="0.35">
      <c r="A31" s="105"/>
      <c r="B31" s="39">
        <v>44890</v>
      </c>
      <c r="C31" s="40">
        <v>1.63</v>
      </c>
      <c r="D31" s="41">
        <f t="shared" si="3"/>
        <v>0.91999999999999993</v>
      </c>
    </row>
    <row r="32" spans="1:4" s="9" customFormat="1" ht="12" customHeight="1" x14ac:dyDescent="0.3">
      <c r="A32" s="104" t="s">
        <v>28</v>
      </c>
      <c r="B32" s="36">
        <v>44898</v>
      </c>
      <c r="C32" s="76">
        <v>1.77</v>
      </c>
      <c r="D32" s="38">
        <f t="shared" si="3"/>
        <v>1.06</v>
      </c>
    </row>
    <row r="33" spans="1:4" s="9" customFormat="1" ht="12" customHeight="1" thickBot="1" x14ac:dyDescent="0.35">
      <c r="A33" s="106"/>
      <c r="B33" s="29">
        <v>44912</v>
      </c>
      <c r="C33" s="60">
        <v>2.09</v>
      </c>
      <c r="D33" s="27">
        <f>C33-0.71</f>
        <v>1.38</v>
      </c>
    </row>
    <row r="34" spans="1:4" s="9" customFormat="1" ht="12" customHeight="1" x14ac:dyDescent="0.3">
      <c r="A34" s="138" t="s">
        <v>20</v>
      </c>
      <c r="B34" s="36">
        <v>44927</v>
      </c>
      <c r="C34" s="42">
        <v>2.36</v>
      </c>
      <c r="D34" s="38">
        <f t="shared" ref="D34:D37" si="4">C34-0.71</f>
        <v>1.65</v>
      </c>
    </row>
    <row r="35" spans="1:4" s="9" customFormat="1" ht="12" customHeight="1" thickBot="1" x14ac:dyDescent="0.35">
      <c r="A35" s="141"/>
      <c r="B35" s="29">
        <v>44932</v>
      </c>
      <c r="C35" s="17">
        <v>2.52</v>
      </c>
      <c r="D35" s="27">
        <f t="shared" si="4"/>
        <v>1.81</v>
      </c>
    </row>
    <row r="36" spans="1:4" s="9" customFormat="1" ht="12" customHeight="1" x14ac:dyDescent="0.3">
      <c r="A36" s="138" t="s">
        <v>36</v>
      </c>
      <c r="B36" s="36">
        <v>44960</v>
      </c>
      <c r="C36" s="43">
        <v>3.04</v>
      </c>
      <c r="D36" s="38">
        <f t="shared" si="4"/>
        <v>2.33</v>
      </c>
    </row>
    <row r="37" spans="1:4" s="9" customFormat="1" ht="12" customHeight="1" thickBot="1" x14ac:dyDescent="0.35">
      <c r="A37" s="141"/>
      <c r="B37" s="29">
        <v>44968</v>
      </c>
      <c r="C37" s="26">
        <v>0.57638888888888895</v>
      </c>
      <c r="D37" s="27">
        <f t="shared" si="4"/>
        <v>-0.13361111111111101</v>
      </c>
    </row>
    <row r="38" spans="1:4" s="9" customFormat="1" ht="12" customHeight="1" x14ac:dyDescent="0.3">
      <c r="A38" s="138" t="s">
        <v>13</v>
      </c>
      <c r="B38" s="36">
        <v>44989</v>
      </c>
      <c r="C38" s="42">
        <v>3.39</v>
      </c>
      <c r="D38" s="38">
        <f>C38-0.71</f>
        <v>2.68</v>
      </c>
    </row>
    <row r="39" spans="1:4" s="9" customFormat="1" ht="12" customHeight="1" x14ac:dyDescent="0.3">
      <c r="A39" s="139"/>
      <c r="B39" s="29">
        <v>45009</v>
      </c>
      <c r="C39" s="17">
        <v>3.72</v>
      </c>
      <c r="D39" s="27">
        <f t="shared" ref="D39:D40" si="5">C39-0.71</f>
        <v>3.0100000000000002</v>
      </c>
    </row>
    <row r="40" spans="1:4" s="9" customFormat="1" ht="12" customHeight="1" thickBot="1" x14ac:dyDescent="0.35">
      <c r="A40" s="140"/>
      <c r="B40" s="39">
        <v>45016</v>
      </c>
      <c r="C40" s="40">
        <v>3.84</v>
      </c>
      <c r="D40" s="41">
        <f t="shared" si="5"/>
        <v>3.13</v>
      </c>
    </row>
    <row r="41" spans="1:4" s="9" customFormat="1" ht="12" customHeight="1" thickBot="1" x14ac:dyDescent="0.35">
      <c r="A41" s="101"/>
      <c r="B41" s="34">
        <v>45045</v>
      </c>
      <c r="C41" s="15">
        <v>4.17</v>
      </c>
      <c r="D41" s="35">
        <f t="shared" ref="D41:D43" si="6">C41-0.71</f>
        <v>3.46</v>
      </c>
    </row>
    <row r="42" spans="1:4" s="9" customFormat="1" ht="12" customHeight="1" x14ac:dyDescent="0.3">
      <c r="A42" s="138" t="s">
        <v>24</v>
      </c>
      <c r="B42" s="44">
        <v>45051</v>
      </c>
      <c r="C42" s="43">
        <v>4.24</v>
      </c>
      <c r="D42" s="38">
        <f t="shared" si="6"/>
        <v>3.5300000000000002</v>
      </c>
    </row>
    <row r="43" spans="1:4" s="9" customFormat="1" ht="12" customHeight="1" x14ac:dyDescent="0.3">
      <c r="A43" s="141"/>
      <c r="B43" s="29">
        <v>45059</v>
      </c>
      <c r="C43" s="31">
        <v>4.29</v>
      </c>
      <c r="D43" s="27">
        <f t="shared" si="6"/>
        <v>3.58</v>
      </c>
    </row>
    <row r="44" spans="1:4" s="9" customFormat="1" ht="12" customHeight="1" x14ac:dyDescent="0.3">
      <c r="A44" s="141"/>
      <c r="B44" s="29">
        <v>45102</v>
      </c>
      <c r="C44" s="46">
        <v>4.22</v>
      </c>
      <c r="D44" s="27">
        <f t="shared" ref="D44:D45" si="7">C44-0.71</f>
        <v>3.51</v>
      </c>
    </row>
    <row r="45" spans="1:4" s="9" customFormat="1" ht="12" customHeight="1" thickBot="1" x14ac:dyDescent="0.35">
      <c r="A45" s="140"/>
      <c r="B45" s="47">
        <v>45107</v>
      </c>
      <c r="C45" s="12">
        <v>4.2300000000000004</v>
      </c>
      <c r="D45" s="49">
        <f t="shared" si="7"/>
        <v>3.5200000000000005</v>
      </c>
    </row>
    <row r="46" spans="1:4" s="9" customFormat="1" ht="12" customHeight="1" x14ac:dyDescent="0.3">
      <c r="A46" s="141"/>
      <c r="B46" s="29">
        <v>45129</v>
      </c>
      <c r="C46" s="46">
        <v>1.76</v>
      </c>
      <c r="D46" s="27">
        <f t="shared" ref="D46:D47" si="8">C46-0.71</f>
        <v>1.05</v>
      </c>
    </row>
    <row r="47" spans="1:4" s="9" customFormat="1" ht="12" customHeight="1" thickBot="1" x14ac:dyDescent="0.35">
      <c r="A47" s="140"/>
      <c r="B47" s="39">
        <v>45135</v>
      </c>
      <c r="C47" s="12">
        <v>1.88</v>
      </c>
      <c r="D47" s="49">
        <f t="shared" si="8"/>
        <v>1.17</v>
      </c>
    </row>
    <row r="48" spans="1:4" s="9" customFormat="1" ht="12" customHeight="1" x14ac:dyDescent="0.3">
      <c r="A48" s="104" t="s">
        <v>18</v>
      </c>
      <c r="B48" s="50">
        <v>45143</v>
      </c>
      <c r="C48" s="43">
        <v>1.46</v>
      </c>
      <c r="D48" s="27">
        <f t="shared" ref="D48:D49" si="9">C48-0.71</f>
        <v>0.75</v>
      </c>
    </row>
    <row r="49" spans="1:4" s="9" customFormat="1" ht="12" customHeight="1" thickBot="1" x14ac:dyDescent="0.35">
      <c r="A49" s="105"/>
      <c r="B49" s="52">
        <v>45163</v>
      </c>
      <c r="C49" s="12">
        <v>0.63</v>
      </c>
      <c r="D49" s="49">
        <f t="shared" si="9"/>
        <v>-7.999999999999996E-2</v>
      </c>
    </row>
  </sheetData>
  <mergeCells count="18">
    <mergeCell ref="A24:A27"/>
    <mergeCell ref="A21:A23"/>
    <mergeCell ref="A1:B1"/>
    <mergeCell ref="C1:D1"/>
    <mergeCell ref="A38:A40"/>
    <mergeCell ref="A36:A37"/>
    <mergeCell ref="A48:A49"/>
    <mergeCell ref="A46:A47"/>
    <mergeCell ref="A44:A45"/>
    <mergeCell ref="A42:A43"/>
    <mergeCell ref="A3:A4"/>
    <mergeCell ref="A5:A8"/>
    <mergeCell ref="A9:A12"/>
    <mergeCell ref="A13:A17"/>
    <mergeCell ref="A18:A20"/>
    <mergeCell ref="A34:A35"/>
    <mergeCell ref="A32:A33"/>
    <mergeCell ref="A28:A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"/>
  <sheetViews>
    <sheetView workbookViewId="0">
      <selection activeCell="C1" sqref="C1:D1"/>
    </sheetView>
  </sheetViews>
  <sheetFormatPr baseColWidth="10" defaultColWidth="9.1796875" defaultRowHeight="14.5" x14ac:dyDescent="0.35"/>
  <cols>
    <col min="2" max="2" width="11.1796875" customWidth="1"/>
    <col min="3" max="3" width="19.7265625" customWidth="1"/>
    <col min="4" max="4" width="21.54296875" customWidth="1"/>
  </cols>
  <sheetData>
    <row r="1" spans="1:5" s="2" customFormat="1" ht="14.15" customHeight="1" x14ac:dyDescent="0.3">
      <c r="A1" s="119" t="s">
        <v>44</v>
      </c>
      <c r="B1" s="119"/>
      <c r="C1" s="131" t="s">
        <v>53</v>
      </c>
      <c r="D1" s="131"/>
      <c r="E1" s="4" t="s">
        <v>33</v>
      </c>
    </row>
    <row r="2" spans="1:5" s="1" customFormat="1" ht="14.15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11" t="s">
        <v>14</v>
      </c>
      <c r="B3" s="29">
        <v>44677</v>
      </c>
      <c r="C3" s="75">
        <v>5</v>
      </c>
      <c r="D3" s="71">
        <f>SUM(C3-0.74)</f>
        <v>4.26</v>
      </c>
    </row>
    <row r="4" spans="1:5" s="9" customFormat="1" ht="12" customHeight="1" x14ac:dyDescent="0.3">
      <c r="A4" s="113"/>
      <c r="B4" s="29">
        <v>44681</v>
      </c>
      <c r="C4" s="53">
        <v>4.99</v>
      </c>
      <c r="D4" s="31">
        <f>SUM(C4-0.74)</f>
        <v>4.25</v>
      </c>
    </row>
    <row r="5" spans="1:5" s="9" customFormat="1" ht="12" customHeight="1" x14ac:dyDescent="0.3">
      <c r="A5" s="111" t="s">
        <v>24</v>
      </c>
      <c r="B5" s="29">
        <v>44688</v>
      </c>
      <c r="C5" s="17">
        <v>4.9400000000000004</v>
      </c>
      <c r="D5" s="31">
        <f t="shared" ref="D5:D6" si="0">SUM(C5-0.74)</f>
        <v>4.2</v>
      </c>
    </row>
    <row r="6" spans="1:5" s="9" customFormat="1" ht="12" customHeight="1" x14ac:dyDescent="0.3">
      <c r="A6" s="112"/>
      <c r="B6" s="29">
        <v>44696</v>
      </c>
      <c r="C6" s="17">
        <v>4.8899999999999997</v>
      </c>
      <c r="D6" s="31">
        <f t="shared" si="0"/>
        <v>4.1499999999999995</v>
      </c>
    </row>
    <row r="7" spans="1:5" s="9" customFormat="1" ht="12" customHeight="1" x14ac:dyDescent="0.3">
      <c r="A7" s="112"/>
      <c r="B7" s="29">
        <v>44701</v>
      </c>
      <c r="C7" s="17">
        <v>4.91</v>
      </c>
      <c r="D7" s="31">
        <f>C7-0.74</f>
        <v>4.17</v>
      </c>
    </row>
    <row r="8" spans="1:5" s="9" customFormat="1" ht="12" customHeight="1" x14ac:dyDescent="0.3">
      <c r="A8" s="113"/>
      <c r="B8" s="29">
        <v>44708</v>
      </c>
      <c r="C8" s="17">
        <v>4.8499999999999996</v>
      </c>
      <c r="D8" s="31">
        <f>C8-0.74</f>
        <v>4.1099999999999994</v>
      </c>
    </row>
    <row r="9" spans="1:5" s="9" customFormat="1" ht="12" customHeight="1" x14ac:dyDescent="0.3">
      <c r="A9" s="107"/>
      <c r="B9" s="29">
        <v>44722</v>
      </c>
      <c r="C9" s="53">
        <v>4.84</v>
      </c>
      <c r="D9" s="27">
        <f t="shared" ref="D9:D16" si="1">C9-0.74</f>
        <v>4.0999999999999996</v>
      </c>
    </row>
    <row r="10" spans="1:5" s="9" customFormat="1" ht="12" customHeight="1" x14ac:dyDescent="0.3">
      <c r="A10" s="107"/>
      <c r="B10" s="29">
        <v>44729</v>
      </c>
      <c r="C10" s="58">
        <v>4.79</v>
      </c>
      <c r="D10" s="27">
        <f t="shared" si="1"/>
        <v>4.05</v>
      </c>
    </row>
    <row r="11" spans="1:5" s="9" customFormat="1" ht="12" customHeight="1" x14ac:dyDescent="0.3">
      <c r="A11" s="107"/>
      <c r="B11" s="29">
        <v>44736</v>
      </c>
      <c r="C11" s="53">
        <v>4.63</v>
      </c>
      <c r="D11" s="27">
        <f t="shared" si="1"/>
        <v>3.8899999999999997</v>
      </c>
    </row>
    <row r="12" spans="1:5" s="9" customFormat="1" ht="12" customHeight="1" x14ac:dyDescent="0.3">
      <c r="A12" s="107" t="s">
        <v>3</v>
      </c>
      <c r="B12" s="29">
        <v>44745</v>
      </c>
      <c r="C12" s="59">
        <v>4.47</v>
      </c>
      <c r="D12" s="27">
        <f t="shared" si="1"/>
        <v>3.7299999999999995</v>
      </c>
    </row>
    <row r="13" spans="1:5" s="9" customFormat="1" ht="12" customHeight="1" x14ac:dyDescent="0.3">
      <c r="A13" s="107"/>
      <c r="B13" s="29">
        <v>44751</v>
      </c>
      <c r="C13" s="53">
        <v>4.32</v>
      </c>
      <c r="D13" s="27">
        <f t="shared" si="1"/>
        <v>3.58</v>
      </c>
    </row>
    <row r="14" spans="1:5" s="9" customFormat="1" ht="12" customHeight="1" x14ac:dyDescent="0.3">
      <c r="A14" s="107"/>
      <c r="B14" s="29">
        <v>44758</v>
      </c>
      <c r="C14" s="58">
        <v>4.29</v>
      </c>
      <c r="D14" s="27">
        <f t="shared" si="1"/>
        <v>3.55</v>
      </c>
    </row>
    <row r="15" spans="1:5" s="9" customFormat="1" ht="12" customHeight="1" x14ac:dyDescent="0.3">
      <c r="A15" s="107"/>
      <c r="B15" s="29">
        <v>44764</v>
      </c>
      <c r="C15" s="53">
        <v>4.24</v>
      </c>
      <c r="D15" s="27">
        <f t="shared" ref="D15" si="2">C15-0.74</f>
        <v>3.5</v>
      </c>
    </row>
    <row r="16" spans="1:5" s="9" customFormat="1" ht="12" customHeight="1" x14ac:dyDescent="0.3">
      <c r="A16" s="107"/>
      <c r="B16" s="29">
        <v>44772</v>
      </c>
      <c r="C16" s="53">
        <v>4.1500000000000004</v>
      </c>
      <c r="D16" s="27">
        <f t="shared" si="1"/>
        <v>3.41</v>
      </c>
    </row>
    <row r="17" spans="1:4" s="9" customFormat="1" ht="12" customHeight="1" x14ac:dyDescent="0.3">
      <c r="A17" s="107" t="s">
        <v>18</v>
      </c>
      <c r="B17" s="29">
        <v>44780</v>
      </c>
      <c r="C17" s="59">
        <v>4.05</v>
      </c>
      <c r="D17" s="27">
        <f t="shared" ref="D17:D22" si="3">C17-0.74</f>
        <v>3.3099999999999996</v>
      </c>
    </row>
    <row r="18" spans="1:4" s="9" customFormat="1" ht="12" customHeight="1" x14ac:dyDescent="0.3">
      <c r="A18" s="107"/>
      <c r="B18" s="29">
        <v>44785</v>
      </c>
      <c r="C18" s="53">
        <v>4.0199999999999996</v>
      </c>
      <c r="D18" s="27">
        <f t="shared" si="3"/>
        <v>3.2799999999999994</v>
      </c>
    </row>
    <row r="19" spans="1:4" s="9" customFormat="1" ht="12" customHeight="1" x14ac:dyDescent="0.3">
      <c r="A19" s="107"/>
      <c r="B19" s="29">
        <v>44798</v>
      </c>
      <c r="C19" s="53">
        <v>3.7</v>
      </c>
      <c r="D19" s="27">
        <f t="shared" si="3"/>
        <v>2.96</v>
      </c>
    </row>
    <row r="20" spans="1:4" s="9" customFormat="1" ht="12" customHeight="1" x14ac:dyDescent="0.3">
      <c r="A20" s="107" t="s">
        <v>25</v>
      </c>
      <c r="B20" s="29">
        <v>44806</v>
      </c>
      <c r="C20" s="59">
        <v>3.64</v>
      </c>
      <c r="D20" s="27">
        <f t="shared" si="3"/>
        <v>2.9000000000000004</v>
      </c>
    </row>
    <row r="21" spans="1:4" s="9" customFormat="1" ht="12" customHeight="1" x14ac:dyDescent="0.3">
      <c r="A21" s="107"/>
      <c r="B21" s="29">
        <v>44814</v>
      </c>
      <c r="C21" s="59">
        <v>3.59</v>
      </c>
      <c r="D21" s="27">
        <f t="shared" si="3"/>
        <v>2.8499999999999996</v>
      </c>
    </row>
    <row r="22" spans="1:4" s="9" customFormat="1" ht="12" customHeight="1" x14ac:dyDescent="0.3">
      <c r="A22" s="107"/>
      <c r="B22" s="29">
        <v>44821</v>
      </c>
      <c r="C22" s="58">
        <v>3.58</v>
      </c>
      <c r="D22" s="27">
        <f t="shared" si="3"/>
        <v>2.84</v>
      </c>
    </row>
    <row r="23" spans="1:4" s="9" customFormat="1" ht="12" customHeight="1" x14ac:dyDescent="0.3">
      <c r="A23" s="107" t="s">
        <v>26</v>
      </c>
      <c r="B23" s="29">
        <v>44841</v>
      </c>
      <c r="C23" s="59">
        <v>3.59</v>
      </c>
      <c r="D23" s="27">
        <f t="shared" ref="D23:D30" si="4">C23-0.74</f>
        <v>2.8499999999999996</v>
      </c>
    </row>
    <row r="24" spans="1:4" s="9" customFormat="1" ht="12" customHeight="1" x14ac:dyDescent="0.3">
      <c r="A24" s="107"/>
      <c r="B24" s="29">
        <v>44848</v>
      </c>
      <c r="C24" s="59">
        <v>3.65</v>
      </c>
      <c r="D24" s="27">
        <f t="shared" si="4"/>
        <v>2.91</v>
      </c>
    </row>
    <row r="25" spans="1:4" s="9" customFormat="1" ht="12" customHeight="1" x14ac:dyDescent="0.3">
      <c r="A25" s="107"/>
      <c r="B25" s="29">
        <v>44855</v>
      </c>
      <c r="C25" s="58">
        <v>3.68</v>
      </c>
      <c r="D25" s="27">
        <f t="shared" si="4"/>
        <v>2.9400000000000004</v>
      </c>
    </row>
    <row r="26" spans="1:4" s="9" customFormat="1" ht="12" customHeight="1" x14ac:dyDescent="0.3">
      <c r="A26" s="107"/>
      <c r="B26" s="29">
        <v>44862</v>
      </c>
      <c r="C26" s="59">
        <v>3.8</v>
      </c>
      <c r="D26" s="27">
        <f t="shared" si="4"/>
        <v>3.0599999999999996</v>
      </c>
    </row>
    <row r="27" spans="1:4" s="9" customFormat="1" ht="12" customHeight="1" x14ac:dyDescent="0.3">
      <c r="A27" s="112" t="s">
        <v>27</v>
      </c>
      <c r="B27" s="29">
        <v>44870</v>
      </c>
      <c r="C27" s="58">
        <v>3.9</v>
      </c>
      <c r="D27" s="27">
        <f t="shared" si="4"/>
        <v>3.16</v>
      </c>
    </row>
    <row r="28" spans="1:4" s="9" customFormat="1" ht="12" customHeight="1" x14ac:dyDescent="0.3">
      <c r="A28" s="112"/>
      <c r="B28" s="29">
        <v>44876</v>
      </c>
      <c r="C28" s="58">
        <v>4.07</v>
      </c>
      <c r="D28" s="27">
        <f t="shared" si="4"/>
        <v>3.33</v>
      </c>
    </row>
    <row r="29" spans="1:4" s="9" customFormat="1" ht="12" customHeight="1" x14ac:dyDescent="0.3">
      <c r="A29" s="112"/>
      <c r="B29" s="29">
        <v>44883</v>
      </c>
      <c r="C29" s="60">
        <v>4.07</v>
      </c>
      <c r="D29" s="27">
        <f t="shared" si="4"/>
        <v>3.33</v>
      </c>
    </row>
    <row r="30" spans="1:4" s="9" customFormat="1" ht="12" customHeight="1" thickBot="1" x14ac:dyDescent="0.35">
      <c r="A30" s="112"/>
      <c r="B30" s="34">
        <v>44890</v>
      </c>
      <c r="C30" s="15">
        <v>4.1900000000000004</v>
      </c>
      <c r="D30" s="35">
        <f t="shared" si="4"/>
        <v>3.45</v>
      </c>
    </row>
    <row r="31" spans="1:4" s="9" customFormat="1" ht="12" customHeight="1" x14ac:dyDescent="0.3">
      <c r="A31" s="104" t="s">
        <v>28</v>
      </c>
      <c r="B31" s="36">
        <v>44898</v>
      </c>
      <c r="C31" s="76">
        <v>4.2699999999999996</v>
      </c>
      <c r="D31" s="38">
        <f>C31-0.74</f>
        <v>3.5299999999999994</v>
      </c>
    </row>
    <row r="32" spans="1:4" s="9" customFormat="1" ht="12" customHeight="1" x14ac:dyDescent="0.3">
      <c r="A32" s="106"/>
      <c r="B32" s="29">
        <v>44912</v>
      </c>
      <c r="C32" s="60">
        <v>4.41</v>
      </c>
      <c r="D32" s="27">
        <f>C32-0.74</f>
        <v>3.67</v>
      </c>
    </row>
    <row r="33" spans="1:4" s="9" customFormat="1" ht="12" customHeight="1" thickBot="1" x14ac:dyDescent="0.35">
      <c r="A33" s="105"/>
      <c r="B33" s="39">
        <v>44926</v>
      </c>
      <c r="C33" s="40">
        <v>4.58</v>
      </c>
      <c r="D33" s="41">
        <f t="shared" ref="D33:D36" si="5">C33-0.74</f>
        <v>3.84</v>
      </c>
    </row>
    <row r="34" spans="1:4" s="9" customFormat="1" ht="12" customHeight="1" thickBot="1" x14ac:dyDescent="0.35">
      <c r="A34" s="98" t="s">
        <v>20</v>
      </c>
      <c r="B34" s="36">
        <v>44932</v>
      </c>
      <c r="C34" s="42">
        <v>4.66</v>
      </c>
      <c r="D34" s="38">
        <f t="shared" si="5"/>
        <v>3.92</v>
      </c>
    </row>
    <row r="35" spans="1:4" s="9" customFormat="1" ht="12" customHeight="1" x14ac:dyDescent="0.3">
      <c r="A35" s="123" t="s">
        <v>36</v>
      </c>
      <c r="B35" s="36">
        <v>44960</v>
      </c>
      <c r="C35" s="43">
        <v>4.8600000000000003</v>
      </c>
      <c r="D35" s="38">
        <f t="shared" si="5"/>
        <v>4.12</v>
      </c>
    </row>
    <row r="36" spans="1:4" s="9" customFormat="1" ht="12" customHeight="1" thickBot="1" x14ac:dyDescent="0.35">
      <c r="A36" s="124"/>
      <c r="B36" s="29">
        <v>44968</v>
      </c>
      <c r="C36" s="31">
        <v>4.8899999999999997</v>
      </c>
      <c r="D36" s="27">
        <f t="shared" si="5"/>
        <v>4.1499999999999995</v>
      </c>
    </row>
    <row r="37" spans="1:4" s="9" customFormat="1" ht="12" customHeight="1" x14ac:dyDescent="0.3">
      <c r="A37" s="138" t="s">
        <v>13</v>
      </c>
      <c r="B37" s="36">
        <v>44989</v>
      </c>
      <c r="C37" s="42">
        <v>4.8600000000000003</v>
      </c>
      <c r="D37" s="38">
        <f>C37-0.74</f>
        <v>4.12</v>
      </c>
    </row>
    <row r="38" spans="1:4" s="9" customFormat="1" ht="12" customHeight="1" x14ac:dyDescent="0.3">
      <c r="A38" s="141"/>
      <c r="B38" s="29">
        <v>45004</v>
      </c>
      <c r="C38" s="17">
        <v>4.9800000000000004</v>
      </c>
      <c r="D38" s="27">
        <f t="shared" ref="D38" si="6">C38-0.74</f>
        <v>4.24</v>
      </c>
    </row>
    <row r="39" spans="1:4" s="9" customFormat="1" ht="12" customHeight="1" x14ac:dyDescent="0.3">
      <c r="A39" s="139"/>
      <c r="B39" s="34">
        <v>45009</v>
      </c>
      <c r="C39" s="15">
        <v>5.01</v>
      </c>
      <c r="D39" s="35">
        <f>C39-0.74</f>
        <v>4.2699999999999996</v>
      </c>
    </row>
    <row r="40" spans="1:4" s="9" customFormat="1" ht="12" customHeight="1" thickBot="1" x14ac:dyDescent="0.35">
      <c r="A40" s="140"/>
      <c r="B40" s="39">
        <v>45016</v>
      </c>
      <c r="C40" s="62">
        <v>5.0599999999999996</v>
      </c>
      <c r="D40" s="62">
        <f>C40-0.74</f>
        <v>4.3199999999999994</v>
      </c>
    </row>
    <row r="41" spans="1:4" s="9" customFormat="1" ht="12" customHeight="1" thickBot="1" x14ac:dyDescent="0.35">
      <c r="A41" s="101"/>
      <c r="B41" s="34">
        <v>45045</v>
      </c>
      <c r="C41" s="61">
        <v>5.07</v>
      </c>
      <c r="D41" s="61">
        <f>C41-0.74</f>
        <v>4.33</v>
      </c>
    </row>
    <row r="42" spans="1:4" s="9" customFormat="1" ht="12" customHeight="1" x14ac:dyDescent="0.3">
      <c r="A42" s="146" t="s">
        <v>24</v>
      </c>
      <c r="B42" s="44">
        <v>45051</v>
      </c>
      <c r="C42" s="43">
        <v>5</v>
      </c>
      <c r="D42" s="82">
        <f t="shared" ref="D42:D43" si="7">C42-0.74</f>
        <v>4.26</v>
      </c>
    </row>
    <row r="43" spans="1:4" s="9" customFormat="1" ht="12" customHeight="1" x14ac:dyDescent="0.3">
      <c r="A43" s="144"/>
      <c r="B43" s="29">
        <v>45059</v>
      </c>
      <c r="C43" s="31">
        <v>5</v>
      </c>
      <c r="D43" s="53">
        <f t="shared" si="7"/>
        <v>4.26</v>
      </c>
    </row>
    <row r="44" spans="1:4" s="9" customFormat="1" ht="12" customHeight="1" x14ac:dyDescent="0.3">
      <c r="A44" s="144"/>
      <c r="B44" s="29">
        <v>45102</v>
      </c>
      <c r="C44" s="59">
        <v>4.78</v>
      </c>
      <c r="D44" s="53">
        <f t="shared" ref="D44:D45" si="8">C44-0.74</f>
        <v>4.04</v>
      </c>
    </row>
    <row r="45" spans="1:4" s="9" customFormat="1" ht="12" customHeight="1" thickBot="1" x14ac:dyDescent="0.35">
      <c r="A45" s="145"/>
      <c r="B45" s="47">
        <v>45107</v>
      </c>
      <c r="C45" s="65">
        <v>4.6900000000000004</v>
      </c>
      <c r="D45" s="84">
        <f t="shared" si="8"/>
        <v>3.95</v>
      </c>
    </row>
    <row r="46" spans="1:4" s="9" customFormat="1" ht="12" customHeight="1" x14ac:dyDescent="0.3">
      <c r="A46" s="144"/>
      <c r="B46" s="29">
        <v>45129</v>
      </c>
      <c r="C46" s="59">
        <v>4.45</v>
      </c>
      <c r="D46" s="53">
        <f t="shared" ref="D46:D47" si="9">C46-0.74</f>
        <v>3.71</v>
      </c>
    </row>
    <row r="47" spans="1:4" s="9" customFormat="1" ht="12" customHeight="1" thickBot="1" x14ac:dyDescent="0.35">
      <c r="A47" s="145"/>
      <c r="B47" s="39">
        <v>45135</v>
      </c>
      <c r="C47" s="65">
        <v>4.45</v>
      </c>
      <c r="D47" s="84">
        <f t="shared" si="9"/>
        <v>3.71</v>
      </c>
    </row>
    <row r="48" spans="1:4" s="9" customFormat="1" ht="12" customHeight="1" x14ac:dyDescent="0.3">
      <c r="A48" s="104" t="s">
        <v>18</v>
      </c>
      <c r="B48" s="50">
        <v>45142</v>
      </c>
      <c r="C48" s="64">
        <v>4.3600000000000003</v>
      </c>
      <c r="D48" s="53">
        <f t="shared" ref="D48:D49" si="10">C48-0.74</f>
        <v>3.62</v>
      </c>
    </row>
    <row r="49" spans="1:4" s="9" customFormat="1" ht="12" customHeight="1" thickBot="1" x14ac:dyDescent="0.35">
      <c r="A49" s="105"/>
      <c r="B49" s="52">
        <v>45163</v>
      </c>
      <c r="C49" s="65">
        <v>4.0999999999999996</v>
      </c>
      <c r="D49" s="84">
        <f t="shared" si="10"/>
        <v>3.3599999999999994</v>
      </c>
    </row>
    <row r="50" spans="1:4" x14ac:dyDescent="0.35">
      <c r="C50" s="11"/>
    </row>
  </sheetData>
  <mergeCells count="17">
    <mergeCell ref="C1:D1"/>
    <mergeCell ref="A1:B1"/>
    <mergeCell ref="A20:A22"/>
    <mergeCell ref="A3:A4"/>
    <mergeCell ref="A5:A8"/>
    <mergeCell ref="A9:A11"/>
    <mergeCell ref="A12:A16"/>
    <mergeCell ref="A17:A19"/>
    <mergeCell ref="A48:A49"/>
    <mergeCell ref="A46:A47"/>
    <mergeCell ref="A31:A33"/>
    <mergeCell ref="A27:A30"/>
    <mergeCell ref="A23:A26"/>
    <mergeCell ref="A44:A45"/>
    <mergeCell ref="A42:A43"/>
    <mergeCell ref="A37:A40"/>
    <mergeCell ref="A35:A36"/>
  </mergeCells>
  <phoneticPr fontId="7" type="noConversion"/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2"/>
  <sheetViews>
    <sheetView workbookViewId="0">
      <pane xSplit="8" ySplit="2" topLeftCell="I3" activePane="bottomRight" state="frozenSplit"/>
      <selection pane="topRight" activeCell="H1" sqref="H1"/>
      <selection pane="bottomLeft" activeCell="A24" sqref="A24"/>
      <selection pane="bottomRight" activeCell="C1" sqref="C1:D1"/>
    </sheetView>
  </sheetViews>
  <sheetFormatPr baseColWidth="10" defaultColWidth="9.1796875" defaultRowHeight="14.5" x14ac:dyDescent="0.35"/>
  <cols>
    <col min="1" max="1" width="9.1796875" style="2"/>
    <col min="2" max="2" width="14" style="1" customWidth="1"/>
    <col min="3" max="3" width="30.1796875" style="2" customWidth="1"/>
    <col min="4" max="4" width="26.54296875" style="2" customWidth="1"/>
    <col min="5" max="8" width="9.1796875" style="2"/>
    <col min="11" max="16384" width="9.1796875" style="2"/>
  </cols>
  <sheetData>
    <row r="1" spans="1:8" s="9" customFormat="1" ht="12" customHeight="1" thickBot="1" x14ac:dyDescent="0.35">
      <c r="A1" s="119" t="s">
        <v>43</v>
      </c>
      <c r="B1" s="119"/>
      <c r="C1" s="131" t="s">
        <v>54</v>
      </c>
      <c r="D1" s="131"/>
      <c r="E1" s="6" t="s">
        <v>21</v>
      </c>
      <c r="F1" s="7"/>
      <c r="G1" s="7"/>
      <c r="H1" s="8"/>
    </row>
    <row r="2" spans="1:8" s="9" customFormat="1" ht="12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8" s="9" customFormat="1" ht="12" customHeight="1" x14ac:dyDescent="0.3">
      <c r="A3" s="107" t="s">
        <v>20</v>
      </c>
      <c r="B3" s="20">
        <v>44205</v>
      </c>
      <c r="C3" s="53">
        <v>11.46</v>
      </c>
      <c r="D3" s="17">
        <f>C3-1.26</f>
        <v>10.200000000000001</v>
      </c>
    </row>
    <row r="4" spans="1:8" s="9" customFormat="1" ht="12" customHeight="1" x14ac:dyDescent="0.3">
      <c r="A4" s="107"/>
      <c r="B4" s="20">
        <v>44219</v>
      </c>
      <c r="C4" s="53">
        <v>11.8</v>
      </c>
      <c r="D4" s="17">
        <f t="shared" ref="D4:D17" si="0">C4-1.26</f>
        <v>10.540000000000001</v>
      </c>
    </row>
    <row r="5" spans="1:8" s="9" customFormat="1" ht="12" customHeight="1" x14ac:dyDescent="0.3">
      <c r="A5" s="107"/>
      <c r="B5" s="20">
        <v>44226</v>
      </c>
      <c r="C5" s="53">
        <v>11.91</v>
      </c>
      <c r="D5" s="17">
        <f t="shared" si="0"/>
        <v>10.65</v>
      </c>
    </row>
    <row r="6" spans="1:8" s="9" customFormat="1" ht="12" customHeight="1" x14ac:dyDescent="0.3">
      <c r="A6" s="107" t="s">
        <v>12</v>
      </c>
      <c r="B6" s="20">
        <v>44233</v>
      </c>
      <c r="C6" s="53">
        <v>12.05</v>
      </c>
      <c r="D6" s="17">
        <f t="shared" si="0"/>
        <v>10.790000000000001</v>
      </c>
    </row>
    <row r="7" spans="1:8" s="9" customFormat="1" ht="12" customHeight="1" x14ac:dyDescent="0.3">
      <c r="A7" s="107"/>
      <c r="B7" s="20">
        <v>44240</v>
      </c>
      <c r="C7" s="53">
        <v>12.27</v>
      </c>
      <c r="D7" s="17">
        <f t="shared" si="0"/>
        <v>11.01</v>
      </c>
    </row>
    <row r="8" spans="1:8" s="9" customFormat="1" ht="12" customHeight="1" x14ac:dyDescent="0.3">
      <c r="A8" s="107"/>
      <c r="B8" s="20">
        <v>44247</v>
      </c>
      <c r="C8" s="53">
        <v>12.44</v>
      </c>
      <c r="D8" s="17">
        <f t="shared" si="0"/>
        <v>11.18</v>
      </c>
    </row>
    <row r="9" spans="1:8" s="9" customFormat="1" ht="12" customHeight="1" x14ac:dyDescent="0.3">
      <c r="A9" s="107"/>
      <c r="B9" s="20">
        <v>44254</v>
      </c>
      <c r="C9" s="53">
        <v>12.52</v>
      </c>
      <c r="D9" s="17">
        <f t="shared" si="0"/>
        <v>11.26</v>
      </c>
    </row>
    <row r="10" spans="1:8" s="9" customFormat="1" ht="12" customHeight="1" x14ac:dyDescent="0.3">
      <c r="A10" s="115" t="s">
        <v>13</v>
      </c>
      <c r="B10" s="20">
        <v>44262</v>
      </c>
      <c r="C10" s="53">
        <v>12.77</v>
      </c>
      <c r="D10" s="17">
        <f>C10-1.26</f>
        <v>11.51</v>
      </c>
    </row>
    <row r="11" spans="1:8" s="9" customFormat="1" ht="12" customHeight="1" x14ac:dyDescent="0.3">
      <c r="A11" s="116"/>
      <c r="B11" s="20">
        <v>44269</v>
      </c>
      <c r="C11" s="53">
        <v>12.94</v>
      </c>
      <c r="D11" s="17">
        <f t="shared" si="0"/>
        <v>11.68</v>
      </c>
    </row>
    <row r="12" spans="1:8" s="9" customFormat="1" ht="12" customHeight="1" x14ac:dyDescent="0.3">
      <c r="A12" s="116"/>
      <c r="B12" s="20">
        <v>44276</v>
      </c>
      <c r="C12" s="53">
        <v>13.14</v>
      </c>
      <c r="D12" s="17">
        <f t="shared" si="0"/>
        <v>11.88</v>
      </c>
    </row>
    <row r="13" spans="1:8" s="9" customFormat="1" ht="12" customHeight="1" x14ac:dyDescent="0.3">
      <c r="A13" s="137"/>
      <c r="B13" s="20">
        <v>44282</v>
      </c>
      <c r="C13" s="53">
        <v>13.29</v>
      </c>
      <c r="D13" s="17">
        <f t="shared" si="0"/>
        <v>12.03</v>
      </c>
    </row>
    <row r="14" spans="1:8" s="9" customFormat="1" ht="12" customHeight="1" x14ac:dyDescent="0.3">
      <c r="A14" s="107" t="s">
        <v>23</v>
      </c>
      <c r="B14" s="20">
        <v>44290</v>
      </c>
      <c r="C14" s="53">
        <v>13.49</v>
      </c>
      <c r="D14" s="17">
        <f t="shared" si="0"/>
        <v>12.23</v>
      </c>
    </row>
    <row r="15" spans="1:8" s="9" customFormat="1" ht="12" customHeight="1" x14ac:dyDescent="0.3">
      <c r="A15" s="107"/>
      <c r="B15" s="20">
        <v>44296</v>
      </c>
      <c r="C15" s="53">
        <v>13.7</v>
      </c>
      <c r="D15" s="17">
        <f t="shared" si="0"/>
        <v>12.44</v>
      </c>
    </row>
    <row r="16" spans="1:8" s="9" customFormat="1" ht="12" customHeight="1" x14ac:dyDescent="0.3">
      <c r="A16" s="107"/>
      <c r="B16" s="20">
        <v>44304</v>
      </c>
      <c r="C16" s="53">
        <v>13.81</v>
      </c>
      <c r="D16" s="17">
        <f t="shared" si="0"/>
        <v>12.55</v>
      </c>
    </row>
    <row r="17" spans="1:4" s="9" customFormat="1" ht="12" customHeight="1" x14ac:dyDescent="0.3">
      <c r="A17" s="107"/>
      <c r="B17" s="20">
        <v>44311</v>
      </c>
      <c r="C17" s="53">
        <v>13.98</v>
      </c>
      <c r="D17" s="17">
        <f t="shared" si="0"/>
        <v>12.72</v>
      </c>
    </row>
    <row r="18" spans="1:4" s="9" customFormat="1" ht="12" customHeight="1" x14ac:dyDescent="0.3">
      <c r="A18" s="111" t="s">
        <v>24</v>
      </c>
      <c r="B18" s="20">
        <v>44318</v>
      </c>
      <c r="C18" s="53">
        <v>14.1</v>
      </c>
      <c r="D18" s="17">
        <f t="shared" ref="D18:D25" si="1">C18-1.26</f>
        <v>12.84</v>
      </c>
    </row>
    <row r="19" spans="1:4" s="9" customFormat="1" ht="12" customHeight="1" x14ac:dyDescent="0.3">
      <c r="A19" s="112"/>
      <c r="B19" s="20">
        <v>44325</v>
      </c>
      <c r="C19" s="53">
        <v>14.21</v>
      </c>
      <c r="D19" s="17">
        <f t="shared" si="1"/>
        <v>12.950000000000001</v>
      </c>
    </row>
    <row r="20" spans="1:4" s="9" customFormat="1" ht="12" customHeight="1" x14ac:dyDescent="0.3">
      <c r="A20" s="112"/>
      <c r="B20" s="20">
        <v>44331</v>
      </c>
      <c r="C20" s="53">
        <v>14.32</v>
      </c>
      <c r="D20" s="17">
        <f t="shared" si="1"/>
        <v>13.06</v>
      </c>
    </row>
    <row r="21" spans="1:4" s="9" customFormat="1" ht="12" customHeight="1" x14ac:dyDescent="0.3">
      <c r="A21" s="112"/>
      <c r="B21" s="20">
        <v>44338</v>
      </c>
      <c r="C21" s="53">
        <v>14.44</v>
      </c>
      <c r="D21" s="17">
        <f t="shared" si="1"/>
        <v>13.18</v>
      </c>
    </row>
    <row r="22" spans="1:4" s="9" customFormat="1" ht="12" customHeight="1" x14ac:dyDescent="0.3">
      <c r="A22" s="113"/>
      <c r="B22" s="20">
        <v>44346</v>
      </c>
      <c r="C22" s="53">
        <v>14.48</v>
      </c>
      <c r="D22" s="17">
        <f t="shared" si="1"/>
        <v>13.22</v>
      </c>
    </row>
    <row r="23" spans="1:4" s="9" customFormat="1" ht="12" customHeight="1" x14ac:dyDescent="0.3">
      <c r="A23" s="112"/>
      <c r="B23" s="20">
        <v>44359</v>
      </c>
      <c r="C23" s="53">
        <v>14.62</v>
      </c>
      <c r="D23" s="17">
        <f t="shared" si="1"/>
        <v>13.36</v>
      </c>
    </row>
    <row r="24" spans="1:4" s="9" customFormat="1" ht="12" customHeight="1" x14ac:dyDescent="0.3">
      <c r="A24" s="112"/>
      <c r="B24" s="20">
        <v>44366</v>
      </c>
      <c r="C24" s="53">
        <v>14.71</v>
      </c>
      <c r="D24" s="17">
        <f t="shared" si="1"/>
        <v>13.450000000000001</v>
      </c>
    </row>
    <row r="25" spans="1:4" s="9" customFormat="1" ht="12" customHeight="1" x14ac:dyDescent="0.3">
      <c r="A25" s="107" t="s">
        <v>17</v>
      </c>
      <c r="B25" s="22">
        <v>44380</v>
      </c>
      <c r="C25" s="53">
        <v>14.74</v>
      </c>
      <c r="D25" s="17">
        <f t="shared" si="1"/>
        <v>13.48</v>
      </c>
    </row>
    <row r="26" spans="1:4" s="9" customFormat="1" ht="12" customHeight="1" x14ac:dyDescent="0.3">
      <c r="A26" s="107"/>
      <c r="B26" s="22">
        <v>44387</v>
      </c>
      <c r="C26" s="53">
        <v>14.76</v>
      </c>
      <c r="D26" s="17">
        <f t="shared" ref="D26:D29" si="2">C26-1.26</f>
        <v>13.5</v>
      </c>
    </row>
    <row r="27" spans="1:4" s="9" customFormat="1" ht="12" customHeight="1" x14ac:dyDescent="0.3">
      <c r="A27" s="107"/>
      <c r="B27" s="22">
        <v>44395</v>
      </c>
      <c r="C27" s="53">
        <v>14.8</v>
      </c>
      <c r="D27" s="53">
        <f t="shared" si="2"/>
        <v>13.540000000000001</v>
      </c>
    </row>
    <row r="28" spans="1:4" s="9" customFormat="1" ht="12" customHeight="1" x14ac:dyDescent="0.3">
      <c r="A28" s="107"/>
      <c r="B28" s="22">
        <v>44401</v>
      </c>
      <c r="C28" s="53">
        <v>14.48</v>
      </c>
      <c r="D28" s="53">
        <f>C28-1.26</f>
        <v>13.22</v>
      </c>
    </row>
    <row r="29" spans="1:4" s="9" customFormat="1" ht="12" customHeight="1" x14ac:dyDescent="0.3">
      <c r="A29" s="107"/>
      <c r="B29" s="22">
        <v>44408</v>
      </c>
      <c r="C29" s="53">
        <v>11.99</v>
      </c>
      <c r="D29" s="53">
        <f t="shared" si="2"/>
        <v>10.73</v>
      </c>
    </row>
    <row r="30" spans="1:4" s="9" customFormat="1" ht="12" customHeight="1" x14ac:dyDescent="0.3">
      <c r="A30" s="114" t="s">
        <v>18</v>
      </c>
      <c r="B30" s="22">
        <v>44415</v>
      </c>
      <c r="C30" s="53">
        <v>11.98</v>
      </c>
      <c r="D30" s="17">
        <f>C30-1.26</f>
        <v>10.72</v>
      </c>
    </row>
    <row r="31" spans="1:4" s="9" customFormat="1" ht="12" customHeight="1" x14ac:dyDescent="0.3">
      <c r="A31" s="114"/>
      <c r="B31" s="22">
        <v>44429</v>
      </c>
      <c r="C31" s="17">
        <v>10.76</v>
      </c>
      <c r="D31" s="17">
        <f>C31-1.26</f>
        <v>9.5</v>
      </c>
    </row>
    <row r="32" spans="1:4" s="9" customFormat="1" ht="12" customHeight="1" x14ac:dyDescent="0.3">
      <c r="A32" s="114" t="s">
        <v>25</v>
      </c>
      <c r="B32" s="22">
        <v>44443</v>
      </c>
      <c r="C32" s="55">
        <v>9.8000000000000007</v>
      </c>
      <c r="D32" s="25">
        <f>SUM(C32-1.26)</f>
        <v>8.5400000000000009</v>
      </c>
    </row>
    <row r="33" spans="1:4" s="9" customFormat="1" ht="12" customHeight="1" x14ac:dyDescent="0.3">
      <c r="A33" s="114"/>
      <c r="B33" s="22">
        <v>44450</v>
      </c>
      <c r="C33" s="55">
        <v>10.47</v>
      </c>
      <c r="D33" s="25">
        <f t="shared" ref="D33:D42" si="3">C33-1.26</f>
        <v>9.2100000000000009</v>
      </c>
    </row>
    <row r="34" spans="1:4" s="9" customFormat="1" ht="12" customHeight="1" x14ac:dyDescent="0.3">
      <c r="A34" s="114"/>
      <c r="B34" s="22">
        <v>44457</v>
      </c>
      <c r="C34" s="25">
        <v>6.56</v>
      </c>
      <c r="D34" s="25">
        <f t="shared" si="3"/>
        <v>5.3</v>
      </c>
    </row>
    <row r="35" spans="1:4" s="9" customFormat="1" ht="12" customHeight="1" x14ac:dyDescent="0.3">
      <c r="A35" s="114"/>
      <c r="B35" s="22">
        <v>44464</v>
      </c>
      <c r="C35" s="55">
        <v>9.8699999999999992</v>
      </c>
      <c r="D35" s="25">
        <f t="shared" si="3"/>
        <v>8.61</v>
      </c>
    </row>
    <row r="36" spans="1:4" s="9" customFormat="1" ht="12" customHeight="1" x14ac:dyDescent="0.3">
      <c r="A36" s="114" t="s">
        <v>26</v>
      </c>
      <c r="B36" s="22">
        <v>44471</v>
      </c>
      <c r="C36" s="55">
        <v>8.77</v>
      </c>
      <c r="D36" s="25">
        <f t="shared" si="3"/>
        <v>7.51</v>
      </c>
    </row>
    <row r="37" spans="1:4" s="9" customFormat="1" ht="12" customHeight="1" x14ac:dyDescent="0.3">
      <c r="A37" s="114"/>
      <c r="B37" s="22">
        <v>44478</v>
      </c>
      <c r="C37" s="55">
        <v>9.44</v>
      </c>
      <c r="D37" s="25">
        <f t="shared" si="3"/>
        <v>8.18</v>
      </c>
    </row>
    <row r="38" spans="1:4" s="9" customFormat="1" ht="12" customHeight="1" x14ac:dyDescent="0.3">
      <c r="A38" s="114"/>
      <c r="B38" s="22">
        <v>44492</v>
      </c>
      <c r="C38" s="55">
        <v>9.8000000000000007</v>
      </c>
      <c r="D38" s="25">
        <f t="shared" ref="D38" si="4">C38-1.26</f>
        <v>8.5400000000000009</v>
      </c>
    </row>
    <row r="39" spans="1:4" s="9" customFormat="1" ht="12" customHeight="1" x14ac:dyDescent="0.3">
      <c r="A39" s="114"/>
      <c r="B39" s="22">
        <v>44499</v>
      </c>
      <c r="C39" s="55">
        <v>9.83</v>
      </c>
      <c r="D39" s="25">
        <f t="shared" si="3"/>
        <v>8.57</v>
      </c>
    </row>
    <row r="40" spans="1:4" s="9" customFormat="1" ht="12" customHeight="1" x14ac:dyDescent="0.3">
      <c r="A40" s="114" t="s">
        <v>27</v>
      </c>
      <c r="B40" s="22">
        <v>44513</v>
      </c>
      <c r="C40" s="55">
        <v>10.06</v>
      </c>
      <c r="D40" s="25">
        <f t="shared" si="3"/>
        <v>8.8000000000000007</v>
      </c>
    </row>
    <row r="41" spans="1:4" s="9" customFormat="1" ht="12" customHeight="1" x14ac:dyDescent="0.3">
      <c r="A41" s="114"/>
      <c r="B41" s="90">
        <v>44521</v>
      </c>
      <c r="C41" s="55">
        <v>10.210000000000001</v>
      </c>
      <c r="D41" s="25">
        <f t="shared" si="3"/>
        <v>8.9500000000000011</v>
      </c>
    </row>
    <row r="42" spans="1:4" s="9" customFormat="1" ht="12" customHeight="1" x14ac:dyDescent="0.3">
      <c r="A42" s="114"/>
      <c r="B42" s="90">
        <v>44527</v>
      </c>
      <c r="C42" s="25">
        <v>10.35</v>
      </c>
      <c r="D42" s="25">
        <f t="shared" si="3"/>
        <v>9.09</v>
      </c>
    </row>
    <row r="43" spans="1:4" s="9" customFormat="1" ht="12" customHeight="1" x14ac:dyDescent="0.3">
      <c r="A43" s="114" t="s">
        <v>28</v>
      </c>
      <c r="B43" s="22">
        <v>44534</v>
      </c>
      <c r="C43" s="55">
        <v>10.5</v>
      </c>
      <c r="D43" s="25">
        <f t="shared" ref="D43:D47" si="5">C43-1.26</f>
        <v>9.24</v>
      </c>
    </row>
    <row r="44" spans="1:4" s="9" customFormat="1" ht="12" customHeight="1" x14ac:dyDescent="0.3">
      <c r="A44" s="114"/>
      <c r="B44" s="22">
        <v>44541</v>
      </c>
      <c r="C44" s="55">
        <v>10.65</v>
      </c>
      <c r="D44" s="25">
        <f t="shared" si="5"/>
        <v>9.39</v>
      </c>
    </row>
    <row r="45" spans="1:4" s="9" customFormat="1" ht="12" customHeight="1" x14ac:dyDescent="0.3">
      <c r="A45" s="114"/>
      <c r="B45" s="22">
        <v>44548</v>
      </c>
      <c r="C45" s="56">
        <v>10.84</v>
      </c>
      <c r="D45" s="25">
        <f t="shared" si="5"/>
        <v>9.58</v>
      </c>
    </row>
    <row r="46" spans="1:4" s="9" customFormat="1" ht="12" customHeight="1" x14ac:dyDescent="0.3">
      <c r="A46" s="114"/>
      <c r="B46" s="22">
        <v>44555</v>
      </c>
      <c r="C46" s="55">
        <v>10.97</v>
      </c>
      <c r="D46" s="25">
        <f t="shared" si="5"/>
        <v>9.7100000000000009</v>
      </c>
    </row>
    <row r="47" spans="1:4" s="9" customFormat="1" ht="12" customHeight="1" x14ac:dyDescent="0.3">
      <c r="A47" s="114" t="s">
        <v>20</v>
      </c>
      <c r="B47" s="22">
        <v>44562</v>
      </c>
      <c r="C47" s="55">
        <v>10.130000000000001</v>
      </c>
      <c r="D47" s="25">
        <f t="shared" si="5"/>
        <v>8.870000000000001</v>
      </c>
    </row>
    <row r="48" spans="1:4" s="9" customFormat="1" ht="12" customHeight="1" x14ac:dyDescent="0.3">
      <c r="A48" s="114"/>
      <c r="B48" s="22">
        <v>44576</v>
      </c>
      <c r="C48" s="56">
        <v>11.45</v>
      </c>
      <c r="D48" s="25">
        <f t="shared" ref="D48:D54" si="6">C48-1.26</f>
        <v>10.19</v>
      </c>
    </row>
    <row r="49" spans="1:4" s="9" customFormat="1" ht="12" customHeight="1" x14ac:dyDescent="0.3">
      <c r="A49" s="114"/>
      <c r="B49" s="22">
        <v>44583</v>
      </c>
      <c r="C49" s="55">
        <v>11.63</v>
      </c>
      <c r="D49" s="25">
        <f t="shared" ref="D49" si="7">C49-1.26</f>
        <v>10.370000000000001</v>
      </c>
    </row>
    <row r="50" spans="1:4" s="9" customFormat="1" ht="12" customHeight="1" x14ac:dyDescent="0.3">
      <c r="A50" s="114"/>
      <c r="B50" s="22">
        <v>44590</v>
      </c>
      <c r="C50" s="55">
        <v>11.79</v>
      </c>
      <c r="D50" s="25">
        <f t="shared" si="6"/>
        <v>10.53</v>
      </c>
    </row>
    <row r="51" spans="1:4" s="9" customFormat="1" ht="12" customHeight="1" x14ac:dyDescent="0.3">
      <c r="A51" s="114" t="s">
        <v>29</v>
      </c>
      <c r="B51" s="22">
        <v>44597</v>
      </c>
      <c r="C51" s="55">
        <v>11.99</v>
      </c>
      <c r="D51" s="25">
        <f t="shared" si="6"/>
        <v>10.73</v>
      </c>
    </row>
    <row r="52" spans="1:4" s="9" customFormat="1" ht="12" customHeight="1" x14ac:dyDescent="0.3">
      <c r="A52" s="114"/>
      <c r="B52" s="22">
        <v>44604</v>
      </c>
      <c r="C52" s="56">
        <v>12.19</v>
      </c>
      <c r="D52" s="25">
        <f t="shared" si="6"/>
        <v>10.93</v>
      </c>
    </row>
    <row r="53" spans="1:4" s="9" customFormat="1" ht="12" customHeight="1" x14ac:dyDescent="0.3">
      <c r="A53" s="114"/>
      <c r="B53" s="22">
        <v>44612</v>
      </c>
      <c r="C53" s="56">
        <v>12.37</v>
      </c>
      <c r="D53" s="25">
        <f t="shared" si="6"/>
        <v>11.11</v>
      </c>
    </row>
    <row r="54" spans="1:4" s="9" customFormat="1" ht="12" customHeight="1" x14ac:dyDescent="0.3">
      <c r="A54" s="114"/>
      <c r="B54" s="22">
        <v>44619</v>
      </c>
      <c r="C54" s="55">
        <v>12.45</v>
      </c>
      <c r="D54" s="25">
        <f t="shared" si="6"/>
        <v>11.19</v>
      </c>
    </row>
    <row r="55" spans="1:4" s="9" customFormat="1" ht="12" customHeight="1" x14ac:dyDescent="0.3">
      <c r="A55" s="114" t="s">
        <v>13</v>
      </c>
      <c r="B55" s="22">
        <v>44625</v>
      </c>
      <c r="C55" s="55">
        <v>12.67</v>
      </c>
      <c r="D55" s="25">
        <f t="shared" ref="D55:D58" si="8">C55-1.26</f>
        <v>11.41</v>
      </c>
    </row>
    <row r="56" spans="1:4" s="9" customFormat="1" ht="12" customHeight="1" x14ac:dyDescent="0.3">
      <c r="A56" s="114"/>
      <c r="B56" s="22">
        <v>44633</v>
      </c>
      <c r="C56" s="56">
        <v>12.89</v>
      </c>
      <c r="D56" s="25">
        <f t="shared" si="8"/>
        <v>11.63</v>
      </c>
    </row>
    <row r="57" spans="1:4" s="9" customFormat="1" ht="12" customHeight="1" x14ac:dyDescent="0.3">
      <c r="A57" s="114"/>
      <c r="B57" s="22">
        <v>44640</v>
      </c>
      <c r="C57" s="56">
        <v>13.04</v>
      </c>
      <c r="D57" s="25">
        <f t="shared" si="8"/>
        <v>11.78</v>
      </c>
    </row>
    <row r="58" spans="1:4" s="9" customFormat="1" ht="12" customHeight="1" x14ac:dyDescent="0.3">
      <c r="A58" s="114"/>
      <c r="B58" s="22">
        <v>44646</v>
      </c>
      <c r="C58" s="55">
        <v>13.19</v>
      </c>
      <c r="D58" s="25">
        <f t="shared" si="8"/>
        <v>11.93</v>
      </c>
    </row>
    <row r="59" spans="1:4" s="9" customFormat="1" ht="12" customHeight="1" x14ac:dyDescent="0.3">
      <c r="A59" s="114" t="s">
        <v>23</v>
      </c>
      <c r="B59" s="22">
        <v>44653</v>
      </c>
      <c r="C59" s="55">
        <v>13.34</v>
      </c>
      <c r="D59" s="25">
        <f t="shared" ref="D59:D62" si="9">C59-1.26</f>
        <v>12.08</v>
      </c>
    </row>
    <row r="60" spans="1:4" s="9" customFormat="1" ht="12" customHeight="1" x14ac:dyDescent="0.3">
      <c r="A60" s="114"/>
      <c r="B60" s="22">
        <v>44661</v>
      </c>
      <c r="C60" s="56">
        <v>13.52</v>
      </c>
      <c r="D60" s="25">
        <f t="shared" si="9"/>
        <v>12.26</v>
      </c>
    </row>
    <row r="61" spans="1:4" s="9" customFormat="1" ht="12" customHeight="1" x14ac:dyDescent="0.3">
      <c r="A61" s="114"/>
      <c r="B61" s="22">
        <v>44674</v>
      </c>
      <c r="C61" s="55">
        <v>13.82</v>
      </c>
      <c r="D61" s="25">
        <f t="shared" ref="D61" si="10">C61-1.26</f>
        <v>12.56</v>
      </c>
    </row>
    <row r="62" spans="1:4" s="9" customFormat="1" ht="12" customHeight="1" x14ac:dyDescent="0.3">
      <c r="A62" s="114"/>
      <c r="B62" s="22">
        <v>44681</v>
      </c>
      <c r="C62" s="55">
        <v>13.99</v>
      </c>
      <c r="D62" s="25">
        <f t="shared" si="9"/>
        <v>12.73</v>
      </c>
    </row>
    <row r="63" spans="1:4" s="9" customFormat="1" ht="12" customHeight="1" x14ac:dyDescent="0.3">
      <c r="A63" s="114" t="s">
        <v>24</v>
      </c>
      <c r="B63" s="22">
        <v>44687</v>
      </c>
      <c r="C63" s="55">
        <v>14.12</v>
      </c>
      <c r="D63" s="25">
        <f t="shared" ref="D63:D74" si="11">C63-1.26</f>
        <v>12.86</v>
      </c>
    </row>
    <row r="64" spans="1:4" s="9" customFormat="1" ht="12" customHeight="1" x14ac:dyDescent="0.3">
      <c r="A64" s="114"/>
      <c r="B64" s="22">
        <v>44696</v>
      </c>
      <c r="C64" s="56">
        <v>14.31</v>
      </c>
      <c r="D64" s="25">
        <f t="shared" si="11"/>
        <v>13.05</v>
      </c>
    </row>
    <row r="65" spans="1:4" s="9" customFormat="1" ht="12" customHeight="1" x14ac:dyDescent="0.3">
      <c r="A65" s="114"/>
      <c r="B65" s="22">
        <v>44703</v>
      </c>
      <c r="C65" s="56">
        <v>14.45</v>
      </c>
      <c r="D65" s="25">
        <f t="shared" si="11"/>
        <v>13.19</v>
      </c>
    </row>
    <row r="66" spans="1:4" s="9" customFormat="1" ht="12" customHeight="1" x14ac:dyDescent="0.3">
      <c r="A66" s="114"/>
      <c r="B66" s="22">
        <v>44708</v>
      </c>
      <c r="C66" s="55">
        <v>14.49</v>
      </c>
      <c r="D66" s="25">
        <f t="shared" ref="D66" si="12">C66-1.26</f>
        <v>13.23</v>
      </c>
    </row>
    <row r="67" spans="1:4" s="9" customFormat="1" ht="12" customHeight="1" x14ac:dyDescent="0.3">
      <c r="A67" s="107"/>
      <c r="B67" s="29">
        <v>44722</v>
      </c>
      <c r="C67" s="53">
        <v>14.68</v>
      </c>
      <c r="D67" s="27">
        <f t="shared" si="11"/>
        <v>13.42</v>
      </c>
    </row>
    <row r="68" spans="1:4" s="9" customFormat="1" ht="12" customHeight="1" x14ac:dyDescent="0.3">
      <c r="A68" s="107"/>
      <c r="B68" s="29">
        <v>44729</v>
      </c>
      <c r="C68" s="58">
        <v>14.05</v>
      </c>
      <c r="D68" s="27">
        <f t="shared" si="11"/>
        <v>12.790000000000001</v>
      </c>
    </row>
    <row r="69" spans="1:4" s="9" customFormat="1" ht="12" customHeight="1" x14ac:dyDescent="0.3">
      <c r="A69" s="107"/>
      <c r="B69" s="29">
        <v>44736</v>
      </c>
      <c r="C69" s="53">
        <v>13.22</v>
      </c>
      <c r="D69" s="27">
        <f t="shared" si="11"/>
        <v>11.96</v>
      </c>
    </row>
    <row r="70" spans="1:4" s="9" customFormat="1" ht="12" customHeight="1" x14ac:dyDescent="0.3">
      <c r="A70" s="107" t="s">
        <v>3</v>
      </c>
      <c r="B70" s="29">
        <v>44743</v>
      </c>
      <c r="C70" s="59">
        <v>12.77</v>
      </c>
      <c r="D70" s="27">
        <f t="shared" si="11"/>
        <v>11.51</v>
      </c>
    </row>
    <row r="71" spans="1:4" s="9" customFormat="1" ht="12" customHeight="1" x14ac:dyDescent="0.3">
      <c r="A71" s="107"/>
      <c r="B71" s="29">
        <v>44751</v>
      </c>
      <c r="C71" s="53">
        <v>12.7</v>
      </c>
      <c r="D71" s="27">
        <f t="shared" si="11"/>
        <v>11.44</v>
      </c>
    </row>
    <row r="72" spans="1:4" s="9" customFormat="1" ht="12" customHeight="1" x14ac:dyDescent="0.3">
      <c r="A72" s="107"/>
      <c r="B72" s="29">
        <v>44759</v>
      </c>
      <c r="C72" s="58">
        <v>12.42</v>
      </c>
      <c r="D72" s="27">
        <f t="shared" si="11"/>
        <v>11.16</v>
      </c>
    </row>
    <row r="73" spans="1:4" s="9" customFormat="1" ht="12" customHeight="1" x14ac:dyDescent="0.3">
      <c r="A73" s="107"/>
      <c r="B73" s="29">
        <v>44764</v>
      </c>
      <c r="C73" s="53">
        <v>12.34</v>
      </c>
      <c r="D73" s="27">
        <f t="shared" ref="D73" si="13">C73-1.26</f>
        <v>11.08</v>
      </c>
    </row>
    <row r="74" spans="1:4" s="9" customFormat="1" ht="12" customHeight="1" x14ac:dyDescent="0.3">
      <c r="A74" s="107"/>
      <c r="B74" s="29">
        <v>44771</v>
      </c>
      <c r="C74" s="53">
        <v>12.18</v>
      </c>
      <c r="D74" s="27">
        <f t="shared" si="11"/>
        <v>10.92</v>
      </c>
    </row>
    <row r="75" spans="1:4" s="9" customFormat="1" ht="12" customHeight="1" x14ac:dyDescent="0.3">
      <c r="A75" s="107" t="s">
        <v>18</v>
      </c>
      <c r="B75" s="29">
        <v>44779</v>
      </c>
      <c r="C75" s="59">
        <v>12.01</v>
      </c>
      <c r="D75" s="27">
        <f t="shared" ref="D75:D80" si="14">C75-1.26</f>
        <v>10.75</v>
      </c>
    </row>
    <row r="76" spans="1:4" s="9" customFormat="1" ht="12" customHeight="1" x14ac:dyDescent="0.3">
      <c r="A76" s="107"/>
      <c r="B76" s="29">
        <v>44785</v>
      </c>
      <c r="C76" s="53">
        <v>10.89</v>
      </c>
      <c r="D76" s="27">
        <f t="shared" si="14"/>
        <v>9.6300000000000008</v>
      </c>
    </row>
    <row r="77" spans="1:4" s="9" customFormat="1" ht="12" customHeight="1" x14ac:dyDescent="0.3">
      <c r="A77" s="107"/>
      <c r="B77" s="29">
        <v>44798</v>
      </c>
      <c r="C77" s="53">
        <v>10.11</v>
      </c>
      <c r="D77" s="27">
        <f t="shared" si="14"/>
        <v>8.85</v>
      </c>
    </row>
    <row r="78" spans="1:4" s="9" customFormat="1" ht="12" customHeight="1" x14ac:dyDescent="0.3">
      <c r="A78" s="107" t="s">
        <v>25</v>
      </c>
      <c r="B78" s="29">
        <v>44806</v>
      </c>
      <c r="C78" s="58">
        <v>8.23</v>
      </c>
      <c r="D78" s="27">
        <f t="shared" si="14"/>
        <v>6.9700000000000006</v>
      </c>
    </row>
    <row r="79" spans="1:4" s="9" customFormat="1" ht="12" customHeight="1" x14ac:dyDescent="0.3">
      <c r="A79" s="107"/>
      <c r="B79" s="29">
        <v>44815</v>
      </c>
      <c r="C79" s="58">
        <v>9.2200000000000006</v>
      </c>
      <c r="D79" s="27">
        <f t="shared" si="14"/>
        <v>7.9600000000000009</v>
      </c>
    </row>
    <row r="80" spans="1:4" s="9" customFormat="1" ht="12" customHeight="1" x14ac:dyDescent="0.3">
      <c r="A80" s="107"/>
      <c r="B80" s="29">
        <v>44821</v>
      </c>
      <c r="C80" s="58">
        <v>9.2200000000000006</v>
      </c>
      <c r="D80" s="27">
        <f t="shared" si="14"/>
        <v>7.9600000000000009</v>
      </c>
    </row>
    <row r="81" spans="1:4" s="9" customFormat="1" ht="12" customHeight="1" x14ac:dyDescent="0.3">
      <c r="A81" s="107" t="s">
        <v>26</v>
      </c>
      <c r="B81" s="29">
        <v>44841</v>
      </c>
      <c r="C81" s="58">
        <v>9.09</v>
      </c>
      <c r="D81" s="27">
        <f t="shared" ref="D81:D93" si="15">C81-1.26</f>
        <v>7.83</v>
      </c>
    </row>
    <row r="82" spans="1:4" s="9" customFormat="1" ht="12" customHeight="1" x14ac:dyDescent="0.3">
      <c r="A82" s="107"/>
      <c r="B82" s="29">
        <v>44848</v>
      </c>
      <c r="C82" s="58">
        <v>9.24</v>
      </c>
      <c r="D82" s="27">
        <f t="shared" si="15"/>
        <v>7.98</v>
      </c>
    </row>
    <row r="83" spans="1:4" s="9" customFormat="1" ht="12" customHeight="1" x14ac:dyDescent="0.3">
      <c r="A83" s="107"/>
      <c r="B83" s="29">
        <v>44855</v>
      </c>
      <c r="C83" s="58">
        <v>9.3800000000000008</v>
      </c>
      <c r="D83" s="27">
        <f t="shared" si="15"/>
        <v>8.120000000000001</v>
      </c>
    </row>
    <row r="84" spans="1:4" s="9" customFormat="1" ht="12" customHeight="1" x14ac:dyDescent="0.3">
      <c r="A84" s="107"/>
      <c r="B84" s="29">
        <v>44862</v>
      </c>
      <c r="C84" s="58">
        <v>9.56</v>
      </c>
      <c r="D84" s="27">
        <f t="shared" si="15"/>
        <v>8.3000000000000007</v>
      </c>
    </row>
    <row r="85" spans="1:4" s="9" customFormat="1" ht="12" customHeight="1" x14ac:dyDescent="0.3">
      <c r="A85" s="112" t="s">
        <v>27</v>
      </c>
      <c r="B85" s="29">
        <v>44873</v>
      </c>
      <c r="C85" s="58">
        <v>9.8800000000000008</v>
      </c>
      <c r="D85" s="27">
        <f t="shared" si="15"/>
        <v>8.620000000000001</v>
      </c>
    </row>
    <row r="86" spans="1:4" s="9" customFormat="1" ht="12" customHeight="1" x14ac:dyDescent="0.3">
      <c r="A86" s="112"/>
      <c r="B86" s="29">
        <v>44876</v>
      </c>
      <c r="C86" s="58">
        <v>10.02</v>
      </c>
      <c r="D86" s="27">
        <f t="shared" si="15"/>
        <v>8.76</v>
      </c>
    </row>
    <row r="87" spans="1:4" s="9" customFormat="1" ht="12" customHeight="1" x14ac:dyDescent="0.3">
      <c r="A87" s="112"/>
      <c r="B87" s="29">
        <v>44883</v>
      </c>
      <c r="C87" s="60">
        <v>10.15</v>
      </c>
      <c r="D87" s="27">
        <f t="shared" si="15"/>
        <v>8.89</v>
      </c>
    </row>
    <row r="88" spans="1:4" s="9" customFormat="1" ht="12" customHeight="1" x14ac:dyDescent="0.3">
      <c r="A88" s="113"/>
      <c r="B88" s="29">
        <v>44890</v>
      </c>
      <c r="C88" s="17">
        <v>10.33</v>
      </c>
      <c r="D88" s="27">
        <f t="shared" si="15"/>
        <v>9.07</v>
      </c>
    </row>
    <row r="89" spans="1:4" s="9" customFormat="1" ht="12" customHeight="1" x14ac:dyDescent="0.3">
      <c r="A89" s="107" t="s">
        <v>28</v>
      </c>
      <c r="B89" s="24">
        <v>44897</v>
      </c>
      <c r="C89" s="58">
        <v>10.51</v>
      </c>
      <c r="D89" s="27">
        <f t="shared" si="15"/>
        <v>9.25</v>
      </c>
    </row>
    <row r="90" spans="1:4" s="9" customFormat="1" ht="12" customHeight="1" x14ac:dyDescent="0.3">
      <c r="A90" s="107"/>
      <c r="B90" s="24">
        <v>44904</v>
      </c>
      <c r="C90" s="58">
        <v>10.67</v>
      </c>
      <c r="D90" s="27">
        <f t="shared" si="15"/>
        <v>9.41</v>
      </c>
    </row>
    <row r="91" spans="1:4" s="9" customFormat="1" ht="12" customHeight="1" x14ac:dyDescent="0.3">
      <c r="A91" s="107"/>
      <c r="B91" s="24">
        <v>44911</v>
      </c>
      <c r="C91" s="60">
        <v>10.8</v>
      </c>
      <c r="D91" s="27">
        <f t="shared" si="15"/>
        <v>9.5400000000000009</v>
      </c>
    </row>
    <row r="92" spans="1:4" s="9" customFormat="1" ht="12" customHeight="1" thickBot="1" x14ac:dyDescent="0.35">
      <c r="A92" s="111"/>
      <c r="B92" s="88">
        <v>44925</v>
      </c>
      <c r="C92" s="15">
        <v>11.13</v>
      </c>
      <c r="D92" s="35">
        <f t="shared" si="15"/>
        <v>9.870000000000001</v>
      </c>
    </row>
    <row r="93" spans="1:4" s="9" customFormat="1" ht="12" customHeight="1" thickBot="1" x14ac:dyDescent="0.35">
      <c r="A93" s="102" t="s">
        <v>20</v>
      </c>
      <c r="B93" s="87">
        <v>44933</v>
      </c>
      <c r="C93" s="42">
        <v>11.31</v>
      </c>
      <c r="D93" s="38">
        <f t="shared" si="15"/>
        <v>10.050000000000001</v>
      </c>
    </row>
    <row r="94" spans="1:4" s="9" customFormat="1" ht="12" customHeight="1" thickBot="1" x14ac:dyDescent="0.35">
      <c r="A94" s="102" t="s">
        <v>36</v>
      </c>
      <c r="B94" s="87">
        <v>44960</v>
      </c>
      <c r="C94" s="43">
        <v>11.9</v>
      </c>
      <c r="D94" s="38">
        <f t="shared" ref="D94" si="16">C94-1.26</f>
        <v>10.64</v>
      </c>
    </row>
    <row r="95" spans="1:4" s="9" customFormat="1" ht="12" customHeight="1" x14ac:dyDescent="0.3">
      <c r="A95" s="104" t="s">
        <v>13</v>
      </c>
      <c r="B95" s="36">
        <v>44989</v>
      </c>
      <c r="C95" s="42">
        <v>12.53</v>
      </c>
      <c r="D95" s="38">
        <f>C95-1.26</f>
        <v>11.27</v>
      </c>
    </row>
    <row r="96" spans="1:4" s="9" customFormat="1" ht="12" customHeight="1" x14ac:dyDescent="0.3">
      <c r="A96" s="106"/>
      <c r="B96" s="29">
        <v>45009</v>
      </c>
      <c r="C96" s="17">
        <v>12.96</v>
      </c>
      <c r="D96" s="27">
        <f t="shared" ref="D96:D104" si="17">C96-1.26</f>
        <v>11.700000000000001</v>
      </c>
    </row>
    <row r="97" spans="1:4" s="21" customFormat="1" ht="12" customHeight="1" x14ac:dyDescent="0.35">
      <c r="A97" s="106"/>
      <c r="B97" s="34">
        <v>45016</v>
      </c>
      <c r="C97" s="15">
        <v>13.13</v>
      </c>
      <c r="D97" s="35">
        <f t="shared" si="17"/>
        <v>11.870000000000001</v>
      </c>
    </row>
    <row r="98" spans="1:4" s="21" customFormat="1" ht="12" customHeight="1" thickBot="1" x14ac:dyDescent="0.4">
      <c r="A98" s="99"/>
      <c r="B98" s="34">
        <v>45045</v>
      </c>
      <c r="C98" s="70">
        <v>13.56</v>
      </c>
      <c r="D98" s="35">
        <f t="shared" si="17"/>
        <v>12.3</v>
      </c>
    </row>
    <row r="99" spans="1:4" s="89" customFormat="1" ht="12" customHeight="1" x14ac:dyDescent="0.3">
      <c r="A99" s="123" t="s">
        <v>24</v>
      </c>
      <c r="B99" s="36">
        <v>45051</v>
      </c>
      <c r="C99" s="43">
        <v>13.71</v>
      </c>
      <c r="D99" s="38">
        <f t="shared" si="17"/>
        <v>12.450000000000001</v>
      </c>
    </row>
    <row r="100" spans="1:4" s="89" customFormat="1" ht="12" customHeight="1" x14ac:dyDescent="0.3">
      <c r="A100" s="124"/>
      <c r="B100" s="29">
        <v>45060</v>
      </c>
      <c r="C100" s="31">
        <v>13.85</v>
      </c>
      <c r="D100" s="27">
        <f t="shared" si="17"/>
        <v>12.59</v>
      </c>
    </row>
    <row r="101" spans="1:4" s="9" customFormat="1" ht="12" customHeight="1" x14ac:dyDescent="0.3">
      <c r="A101" s="124"/>
      <c r="B101" s="29">
        <v>45102</v>
      </c>
      <c r="C101" s="46">
        <v>14</v>
      </c>
      <c r="D101" s="27">
        <f t="shared" si="17"/>
        <v>12.74</v>
      </c>
    </row>
    <row r="102" spans="1:4" s="21" customFormat="1" ht="12" customHeight="1" x14ac:dyDescent="0.35">
      <c r="A102" s="126"/>
      <c r="B102" s="34">
        <v>45107</v>
      </c>
      <c r="C102" s="70">
        <v>13.79</v>
      </c>
      <c r="D102" s="51">
        <f t="shared" si="17"/>
        <v>12.53</v>
      </c>
    </row>
    <row r="103" spans="1:4" s="9" customFormat="1" ht="12" customHeight="1" x14ac:dyDescent="0.3">
      <c r="A103" s="106"/>
      <c r="B103" s="29">
        <v>45130</v>
      </c>
      <c r="C103" s="17">
        <v>13.05</v>
      </c>
      <c r="D103" s="27">
        <f t="shared" si="17"/>
        <v>11.790000000000001</v>
      </c>
    </row>
    <row r="104" spans="1:4" s="9" customFormat="1" ht="12" customHeight="1" thickBot="1" x14ac:dyDescent="0.35">
      <c r="A104" s="105"/>
      <c r="B104" s="39">
        <v>45135</v>
      </c>
      <c r="C104" s="40">
        <v>12.98</v>
      </c>
      <c r="D104" s="41">
        <f t="shared" si="17"/>
        <v>11.72</v>
      </c>
    </row>
    <row r="105" spans="1:4" s="9" customFormat="1" ht="12" customHeight="1" x14ac:dyDescent="0.3">
      <c r="A105" s="104" t="s">
        <v>18</v>
      </c>
      <c r="B105" s="50">
        <v>45143</v>
      </c>
      <c r="C105" s="43">
        <v>12.83</v>
      </c>
      <c r="D105" s="27">
        <f t="shared" ref="D105:D106" si="18">C105-1.26</f>
        <v>11.57</v>
      </c>
    </row>
    <row r="106" spans="1:4" s="9" customFormat="1" ht="12" customHeight="1" thickBot="1" x14ac:dyDescent="0.35">
      <c r="A106" s="105"/>
      <c r="B106" s="52">
        <v>45163</v>
      </c>
      <c r="C106" s="12">
        <v>11.91</v>
      </c>
      <c r="D106" s="41">
        <f t="shared" si="18"/>
        <v>10.65</v>
      </c>
    </row>
    <row r="107" spans="1:4" ht="15" customHeight="1" x14ac:dyDescent="0.35"/>
    <row r="108" spans="1:4" ht="15" customHeight="1" x14ac:dyDescent="0.35"/>
    <row r="109" spans="1:4" ht="15" customHeight="1" x14ac:dyDescent="0.35"/>
    <row r="110" spans="1:4" ht="15" customHeight="1" x14ac:dyDescent="0.35"/>
    <row r="111" spans="1:4" ht="15" customHeight="1" x14ac:dyDescent="0.35"/>
    <row r="112" spans="1:4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</sheetData>
  <mergeCells count="31">
    <mergeCell ref="A10:A13"/>
    <mergeCell ref="A14:A17"/>
    <mergeCell ref="A1:B1"/>
    <mergeCell ref="A18:A22"/>
    <mergeCell ref="A63:A66"/>
    <mergeCell ref="A32:A35"/>
    <mergeCell ref="A30:A31"/>
    <mergeCell ref="A25:A29"/>
    <mergeCell ref="A55:A58"/>
    <mergeCell ref="A51:A54"/>
    <mergeCell ref="A47:A50"/>
    <mergeCell ref="A23:A24"/>
    <mergeCell ref="A43:A46"/>
    <mergeCell ref="A40:A42"/>
    <mergeCell ref="A36:A39"/>
    <mergeCell ref="C1:D1"/>
    <mergeCell ref="A70:A74"/>
    <mergeCell ref="A59:A62"/>
    <mergeCell ref="A105:A106"/>
    <mergeCell ref="A103:A104"/>
    <mergeCell ref="A95:A97"/>
    <mergeCell ref="A89:A92"/>
    <mergeCell ref="A81:A84"/>
    <mergeCell ref="A67:A69"/>
    <mergeCell ref="A78:A80"/>
    <mergeCell ref="A75:A77"/>
    <mergeCell ref="A85:A88"/>
    <mergeCell ref="A101:A102"/>
    <mergeCell ref="A99:A100"/>
    <mergeCell ref="A3:A5"/>
    <mergeCell ref="A6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2"/>
  <sheetViews>
    <sheetView tabSelected="1" zoomScale="95" zoomScaleNormal="95" workbookViewId="0">
      <pane xSplit="8" ySplit="2" topLeftCell="I3" activePane="bottomRight" state="frozenSplit"/>
      <selection pane="topRight" activeCell="G1" sqref="G1"/>
      <selection pane="bottomLeft" activeCell="A24" sqref="A24"/>
      <selection pane="bottomRight" activeCell="H7" sqref="H7"/>
    </sheetView>
  </sheetViews>
  <sheetFormatPr baseColWidth="10" defaultColWidth="9.1796875" defaultRowHeight="12" x14ac:dyDescent="0.3"/>
  <cols>
    <col min="1" max="1" width="9.1796875" style="2"/>
    <col min="2" max="2" width="21.453125" style="10" customWidth="1"/>
    <col min="3" max="3" width="30.1796875" style="2" customWidth="1"/>
    <col min="4" max="4" width="26.54296875" style="2" customWidth="1"/>
    <col min="5" max="5" width="16.1796875" style="2" customWidth="1"/>
    <col min="6" max="16384" width="9.1796875" style="2"/>
  </cols>
  <sheetData>
    <row r="1" spans="1:5" s="9" customFormat="1" ht="12" customHeight="1" x14ac:dyDescent="0.3">
      <c r="A1" s="119" t="s">
        <v>41</v>
      </c>
      <c r="B1" s="119"/>
      <c r="C1" s="129" t="s">
        <v>55</v>
      </c>
      <c r="D1" s="129"/>
      <c r="E1" s="14" t="s">
        <v>22</v>
      </c>
    </row>
    <row r="2" spans="1:5" s="9" customFormat="1" ht="12" customHeight="1" x14ac:dyDescent="0.3">
      <c r="A2" s="18" t="s">
        <v>38</v>
      </c>
      <c r="B2" s="54" t="s">
        <v>0</v>
      </c>
      <c r="C2" s="13" t="s">
        <v>39</v>
      </c>
      <c r="D2" s="85" t="s">
        <v>40</v>
      </c>
    </row>
    <row r="3" spans="1:5" s="9" customFormat="1" ht="12" customHeight="1" x14ac:dyDescent="0.3">
      <c r="A3" s="111" t="s">
        <v>20</v>
      </c>
      <c r="B3" s="91">
        <v>44205</v>
      </c>
      <c r="C3" s="53">
        <v>3.59</v>
      </c>
      <c r="D3" s="17">
        <f>C3-0.79</f>
        <v>2.8</v>
      </c>
    </row>
    <row r="4" spans="1:5" s="9" customFormat="1" ht="12" customHeight="1" x14ac:dyDescent="0.3">
      <c r="A4" s="112"/>
      <c r="B4" s="91">
        <v>44219</v>
      </c>
      <c r="C4" s="53">
        <v>3.84</v>
      </c>
      <c r="D4" s="17">
        <f t="shared" ref="D4:D11" si="0">C4-0.79</f>
        <v>3.05</v>
      </c>
    </row>
    <row r="5" spans="1:5" s="9" customFormat="1" ht="12" customHeight="1" x14ac:dyDescent="0.3">
      <c r="A5" s="113"/>
      <c r="B5" s="91">
        <v>44226</v>
      </c>
      <c r="C5" s="53">
        <v>3.92</v>
      </c>
      <c r="D5" s="17">
        <f t="shared" si="0"/>
        <v>3.13</v>
      </c>
    </row>
    <row r="6" spans="1:5" s="9" customFormat="1" ht="12" customHeight="1" x14ac:dyDescent="0.3">
      <c r="A6" s="107" t="s">
        <v>12</v>
      </c>
      <c r="B6" s="91">
        <v>44233</v>
      </c>
      <c r="C6" s="53">
        <v>4</v>
      </c>
      <c r="D6" s="17">
        <f t="shared" si="0"/>
        <v>3.21</v>
      </c>
    </row>
    <row r="7" spans="1:5" s="9" customFormat="1" ht="12" customHeight="1" x14ac:dyDescent="0.3">
      <c r="A7" s="107"/>
      <c r="B7" s="91">
        <v>44240</v>
      </c>
      <c r="C7" s="53">
        <v>4.17</v>
      </c>
      <c r="D7" s="17">
        <f t="shared" si="0"/>
        <v>3.38</v>
      </c>
    </row>
    <row r="8" spans="1:5" s="9" customFormat="1" ht="12" customHeight="1" x14ac:dyDescent="0.3">
      <c r="A8" s="107"/>
      <c r="B8" s="91">
        <v>44247</v>
      </c>
      <c r="C8" s="53">
        <v>4.3</v>
      </c>
      <c r="D8" s="17">
        <f t="shared" si="0"/>
        <v>3.51</v>
      </c>
    </row>
    <row r="9" spans="1:5" s="9" customFormat="1" ht="12" customHeight="1" x14ac:dyDescent="0.3">
      <c r="A9" s="107"/>
      <c r="B9" s="91">
        <v>44254</v>
      </c>
      <c r="C9" s="53">
        <v>4.3600000000000003</v>
      </c>
      <c r="D9" s="17">
        <f t="shared" si="0"/>
        <v>3.5700000000000003</v>
      </c>
    </row>
    <row r="10" spans="1:5" s="9" customFormat="1" ht="12" customHeight="1" x14ac:dyDescent="0.3">
      <c r="A10" s="107" t="s">
        <v>13</v>
      </c>
      <c r="B10" s="91">
        <v>44261</v>
      </c>
      <c r="C10" s="53">
        <v>4.45</v>
      </c>
      <c r="D10" s="17">
        <f t="shared" si="0"/>
        <v>3.66</v>
      </c>
    </row>
    <row r="11" spans="1:5" s="9" customFormat="1" ht="12" customHeight="1" x14ac:dyDescent="0.3">
      <c r="A11" s="107"/>
      <c r="B11" s="91">
        <v>44268</v>
      </c>
      <c r="C11" s="53">
        <v>4.59</v>
      </c>
      <c r="D11" s="17">
        <f t="shared" si="0"/>
        <v>3.8</v>
      </c>
    </row>
    <row r="12" spans="1:5" s="9" customFormat="1" ht="12" customHeight="1" x14ac:dyDescent="0.3">
      <c r="A12" s="107"/>
      <c r="B12" s="91">
        <v>44276</v>
      </c>
      <c r="C12" s="53">
        <v>4.6500000000000004</v>
      </c>
      <c r="D12" s="17">
        <f>C12-0.79</f>
        <v>3.8600000000000003</v>
      </c>
    </row>
    <row r="13" spans="1:5" s="9" customFormat="1" ht="12" customHeight="1" x14ac:dyDescent="0.3">
      <c r="A13" s="107"/>
      <c r="B13" s="91">
        <v>44282</v>
      </c>
      <c r="C13" s="53">
        <v>4.7699999999999996</v>
      </c>
      <c r="D13" s="17">
        <f>C13-0.79</f>
        <v>3.9799999999999995</v>
      </c>
    </row>
    <row r="14" spans="1:5" s="9" customFormat="1" ht="12" customHeight="1" x14ac:dyDescent="0.3">
      <c r="A14" s="107" t="s">
        <v>23</v>
      </c>
      <c r="B14" s="91">
        <v>44289</v>
      </c>
      <c r="C14" s="53">
        <v>4.8899999999999997</v>
      </c>
      <c r="D14" s="17">
        <f>C14-0.79</f>
        <v>4.0999999999999996</v>
      </c>
    </row>
    <row r="15" spans="1:5" s="9" customFormat="1" ht="12" customHeight="1" x14ac:dyDescent="0.3">
      <c r="A15" s="107"/>
      <c r="B15" s="91">
        <v>44296</v>
      </c>
      <c r="C15" s="53">
        <v>5</v>
      </c>
      <c r="D15" s="17">
        <f t="shared" ref="D15:D17" si="1">C15-0.79</f>
        <v>4.21</v>
      </c>
    </row>
    <row r="16" spans="1:5" s="9" customFormat="1" ht="12" customHeight="1" x14ac:dyDescent="0.3">
      <c r="A16" s="107"/>
      <c r="B16" s="91">
        <v>44304</v>
      </c>
      <c r="C16" s="53">
        <v>5.17</v>
      </c>
      <c r="D16" s="17">
        <f t="shared" si="1"/>
        <v>4.38</v>
      </c>
    </row>
    <row r="17" spans="1:4" s="9" customFormat="1" ht="12" customHeight="1" x14ac:dyDescent="0.3">
      <c r="A17" s="107"/>
      <c r="B17" s="91">
        <v>44310</v>
      </c>
      <c r="C17" s="53">
        <v>5.3</v>
      </c>
      <c r="D17" s="17">
        <f t="shared" si="1"/>
        <v>4.51</v>
      </c>
    </row>
    <row r="18" spans="1:4" s="9" customFormat="1" ht="12" customHeight="1" x14ac:dyDescent="0.3">
      <c r="A18" s="111" t="s">
        <v>24</v>
      </c>
      <c r="B18" s="91">
        <v>44318</v>
      </c>
      <c r="C18" s="53">
        <v>5.5</v>
      </c>
      <c r="D18" s="17">
        <f t="shared" ref="D18:D27" si="2">C18-0.79</f>
        <v>4.71</v>
      </c>
    </row>
    <row r="19" spans="1:4" s="9" customFormat="1" ht="12" customHeight="1" x14ac:dyDescent="0.3">
      <c r="A19" s="112"/>
      <c r="B19" s="91">
        <v>44325</v>
      </c>
      <c r="C19" s="53">
        <v>5</v>
      </c>
      <c r="D19" s="17">
        <f t="shared" si="2"/>
        <v>4.21</v>
      </c>
    </row>
    <row r="20" spans="1:4" s="9" customFormat="1" ht="12" customHeight="1" x14ac:dyDescent="0.3">
      <c r="A20" s="112"/>
      <c r="B20" s="91">
        <v>44331</v>
      </c>
      <c r="C20" s="53">
        <v>4.51</v>
      </c>
      <c r="D20" s="17">
        <f t="shared" si="2"/>
        <v>3.7199999999999998</v>
      </c>
    </row>
    <row r="21" spans="1:4" s="9" customFormat="1" ht="12" customHeight="1" x14ac:dyDescent="0.3">
      <c r="A21" s="112"/>
      <c r="B21" s="91">
        <v>44338</v>
      </c>
      <c r="C21" s="53">
        <v>4.5199999999999996</v>
      </c>
      <c r="D21" s="17">
        <f t="shared" si="2"/>
        <v>3.7299999999999995</v>
      </c>
    </row>
    <row r="22" spans="1:4" s="9" customFormat="1" ht="12" customHeight="1" x14ac:dyDescent="0.3">
      <c r="A22" s="113"/>
      <c r="B22" s="91">
        <v>44346</v>
      </c>
      <c r="C22" s="53">
        <v>4.2</v>
      </c>
      <c r="D22" s="53">
        <f t="shared" si="2"/>
        <v>3.41</v>
      </c>
    </row>
    <row r="23" spans="1:4" s="9" customFormat="1" ht="12" customHeight="1" x14ac:dyDescent="0.3">
      <c r="A23" s="111" t="s">
        <v>16</v>
      </c>
      <c r="B23" s="91">
        <v>44353</v>
      </c>
      <c r="C23" s="53">
        <v>4.4000000000000004</v>
      </c>
      <c r="D23" s="53">
        <f t="shared" si="2"/>
        <v>3.6100000000000003</v>
      </c>
    </row>
    <row r="24" spans="1:4" s="9" customFormat="1" ht="12" customHeight="1" x14ac:dyDescent="0.3">
      <c r="A24" s="112"/>
      <c r="B24" s="91">
        <v>44359</v>
      </c>
      <c r="C24" s="53">
        <v>4.03</v>
      </c>
      <c r="D24" s="17">
        <f t="shared" si="2"/>
        <v>3.24</v>
      </c>
    </row>
    <row r="25" spans="1:4" s="9" customFormat="1" ht="12" customHeight="1" x14ac:dyDescent="0.3">
      <c r="A25" s="112"/>
      <c r="B25" s="91">
        <v>44366</v>
      </c>
      <c r="C25" s="53">
        <v>3.81</v>
      </c>
      <c r="D25" s="17">
        <f t="shared" si="2"/>
        <v>3.02</v>
      </c>
    </row>
    <row r="26" spans="1:4" s="9" customFormat="1" ht="12" customHeight="1" x14ac:dyDescent="0.3">
      <c r="A26" s="107" t="s">
        <v>17</v>
      </c>
      <c r="B26" s="92">
        <v>44380</v>
      </c>
      <c r="C26" s="53">
        <v>3.36</v>
      </c>
      <c r="D26" s="17">
        <f t="shared" si="2"/>
        <v>2.57</v>
      </c>
    </row>
    <row r="27" spans="1:4" s="9" customFormat="1" ht="12" customHeight="1" x14ac:dyDescent="0.3">
      <c r="A27" s="107"/>
      <c r="B27" s="92">
        <v>44387</v>
      </c>
      <c r="C27" s="53">
        <v>3.24</v>
      </c>
      <c r="D27" s="53">
        <f t="shared" si="2"/>
        <v>2.4500000000000002</v>
      </c>
    </row>
    <row r="28" spans="1:4" s="9" customFormat="1" ht="12" customHeight="1" x14ac:dyDescent="0.3">
      <c r="A28" s="107"/>
      <c r="B28" s="92">
        <v>44408</v>
      </c>
      <c r="C28" s="53">
        <v>2.2599999999999998</v>
      </c>
      <c r="D28" s="53">
        <f>C28-0.79</f>
        <v>1.4699999999999998</v>
      </c>
    </row>
    <row r="29" spans="1:4" s="9" customFormat="1" ht="12" customHeight="1" x14ac:dyDescent="0.3">
      <c r="A29" s="114" t="s">
        <v>18</v>
      </c>
      <c r="B29" s="92">
        <v>44416</v>
      </c>
      <c r="C29" s="53">
        <v>2.14</v>
      </c>
      <c r="D29" s="17">
        <f>C29-0.79</f>
        <v>1.35</v>
      </c>
    </row>
    <row r="30" spans="1:4" s="9" customFormat="1" ht="12" customHeight="1" x14ac:dyDescent="0.3">
      <c r="A30" s="114"/>
      <c r="B30" s="92">
        <v>44429</v>
      </c>
      <c r="C30" s="59">
        <v>1.74</v>
      </c>
      <c r="D30" s="31">
        <f>C30-0.79</f>
        <v>0.95</v>
      </c>
    </row>
    <row r="31" spans="1:4" s="9" customFormat="1" ht="12" customHeight="1" x14ac:dyDescent="0.3">
      <c r="A31" s="114" t="s">
        <v>25</v>
      </c>
      <c r="B31" s="92">
        <v>44443</v>
      </c>
      <c r="C31" s="55">
        <v>1.5</v>
      </c>
      <c r="D31" s="25">
        <f t="shared" ref="D31:D36" si="3">C31-0.79</f>
        <v>0.71</v>
      </c>
    </row>
    <row r="32" spans="1:4" s="9" customFormat="1" ht="12" customHeight="1" x14ac:dyDescent="0.3">
      <c r="A32" s="114"/>
      <c r="B32" s="92">
        <v>44450</v>
      </c>
      <c r="C32" s="55">
        <v>1.61</v>
      </c>
      <c r="D32" s="25">
        <f t="shared" si="3"/>
        <v>0.82000000000000006</v>
      </c>
    </row>
    <row r="33" spans="1:4" s="9" customFormat="1" ht="12" customHeight="1" x14ac:dyDescent="0.3">
      <c r="A33" s="114"/>
      <c r="B33" s="92">
        <v>44457</v>
      </c>
      <c r="C33" s="55">
        <v>1.19</v>
      </c>
      <c r="D33" s="25">
        <f t="shared" si="3"/>
        <v>0.39999999999999991</v>
      </c>
    </row>
    <row r="34" spans="1:4" s="9" customFormat="1" ht="12" customHeight="1" x14ac:dyDescent="0.3">
      <c r="A34" s="114"/>
      <c r="B34" s="92">
        <v>44464</v>
      </c>
      <c r="C34" s="55">
        <v>1.28</v>
      </c>
      <c r="D34" s="25">
        <f t="shared" si="3"/>
        <v>0.49</v>
      </c>
    </row>
    <row r="35" spans="1:4" s="9" customFormat="1" ht="12" customHeight="1" x14ac:dyDescent="0.3">
      <c r="A35" s="114" t="s">
        <v>26</v>
      </c>
      <c r="B35" s="92">
        <v>44471</v>
      </c>
      <c r="C35" s="55">
        <v>1.19</v>
      </c>
      <c r="D35" s="25">
        <f t="shared" si="3"/>
        <v>0.39999999999999991</v>
      </c>
    </row>
    <row r="36" spans="1:4" s="9" customFormat="1" ht="12" customHeight="1" x14ac:dyDescent="0.3">
      <c r="A36" s="114"/>
      <c r="B36" s="92">
        <v>44478</v>
      </c>
      <c r="C36" s="55">
        <v>1.27</v>
      </c>
      <c r="D36" s="25">
        <f t="shared" si="3"/>
        <v>0.48</v>
      </c>
    </row>
    <row r="37" spans="1:4" s="9" customFormat="1" ht="12" customHeight="1" x14ac:dyDescent="0.3">
      <c r="A37" s="114"/>
      <c r="B37" s="92">
        <v>44492</v>
      </c>
      <c r="C37" s="55">
        <v>1.49</v>
      </c>
      <c r="D37" s="25">
        <f t="shared" ref="D37:D46" si="4">C37-0.79</f>
        <v>0.7</v>
      </c>
    </row>
    <row r="38" spans="1:4" s="9" customFormat="1" ht="12" customHeight="1" x14ac:dyDescent="0.3">
      <c r="A38" s="114"/>
      <c r="B38" s="92">
        <v>44499</v>
      </c>
      <c r="C38" s="55">
        <v>1.49</v>
      </c>
      <c r="D38" s="25">
        <f t="shared" si="4"/>
        <v>0.7</v>
      </c>
    </row>
    <row r="39" spans="1:4" s="9" customFormat="1" ht="12" customHeight="1" x14ac:dyDescent="0.3">
      <c r="A39" s="114" t="s">
        <v>27</v>
      </c>
      <c r="B39" s="92">
        <v>44513</v>
      </c>
      <c r="C39" s="55">
        <v>1.87</v>
      </c>
      <c r="D39" s="25">
        <f t="shared" si="4"/>
        <v>1.08</v>
      </c>
    </row>
    <row r="40" spans="1:4" s="9" customFormat="1" ht="12" customHeight="1" x14ac:dyDescent="0.3">
      <c r="A40" s="114"/>
      <c r="B40" s="92">
        <v>44521</v>
      </c>
      <c r="C40" s="55">
        <v>2.12</v>
      </c>
      <c r="D40" s="25">
        <f t="shared" si="4"/>
        <v>1.33</v>
      </c>
    </row>
    <row r="41" spans="1:4" s="9" customFormat="1" ht="12" customHeight="1" x14ac:dyDescent="0.3">
      <c r="A41" s="114"/>
      <c r="B41" s="92">
        <v>44527</v>
      </c>
      <c r="C41" s="56">
        <v>2.41</v>
      </c>
      <c r="D41" s="25">
        <f t="shared" si="4"/>
        <v>1.62</v>
      </c>
    </row>
    <row r="42" spans="1:4" s="9" customFormat="1" ht="12" customHeight="1" x14ac:dyDescent="0.3">
      <c r="A42" s="114" t="s">
        <v>28</v>
      </c>
      <c r="B42" s="92">
        <v>44534</v>
      </c>
      <c r="C42" s="55">
        <v>2.64</v>
      </c>
      <c r="D42" s="25">
        <f t="shared" si="4"/>
        <v>1.85</v>
      </c>
    </row>
    <row r="43" spans="1:4" s="9" customFormat="1" ht="12" customHeight="1" x14ac:dyDescent="0.3">
      <c r="A43" s="114"/>
      <c r="B43" s="92">
        <v>44541</v>
      </c>
      <c r="C43" s="55">
        <v>2.85</v>
      </c>
      <c r="D43" s="25">
        <f t="shared" si="4"/>
        <v>2.06</v>
      </c>
    </row>
    <row r="44" spans="1:4" s="9" customFormat="1" ht="12" customHeight="1" x14ac:dyDescent="0.3">
      <c r="A44" s="114"/>
      <c r="B44" s="92">
        <v>44548</v>
      </c>
      <c r="C44" s="56">
        <v>3.05</v>
      </c>
      <c r="D44" s="25">
        <f t="shared" si="4"/>
        <v>2.2599999999999998</v>
      </c>
    </row>
    <row r="45" spans="1:4" s="9" customFormat="1" ht="12" customHeight="1" x14ac:dyDescent="0.3">
      <c r="A45" s="114"/>
      <c r="B45" s="92">
        <v>44555</v>
      </c>
      <c r="C45" s="55">
        <v>3.26</v>
      </c>
      <c r="D45" s="25">
        <f t="shared" si="4"/>
        <v>2.4699999999999998</v>
      </c>
    </row>
    <row r="46" spans="1:4" s="9" customFormat="1" ht="12" customHeight="1" x14ac:dyDescent="0.3">
      <c r="A46" s="114" t="s">
        <v>20</v>
      </c>
      <c r="B46" s="92">
        <v>44562</v>
      </c>
      <c r="C46" s="55">
        <v>3.44</v>
      </c>
      <c r="D46" s="25">
        <f t="shared" si="4"/>
        <v>2.65</v>
      </c>
    </row>
    <row r="47" spans="1:4" s="9" customFormat="1" ht="12" customHeight="1" x14ac:dyDescent="0.3">
      <c r="A47" s="114"/>
      <c r="B47" s="92">
        <v>44576</v>
      </c>
      <c r="C47" s="56">
        <v>3.71</v>
      </c>
      <c r="D47" s="25">
        <f t="shared" ref="D47:D62" si="5">C47-0.79</f>
        <v>2.92</v>
      </c>
    </row>
    <row r="48" spans="1:4" s="9" customFormat="1" ht="12" customHeight="1" x14ac:dyDescent="0.3">
      <c r="A48" s="114"/>
      <c r="B48" s="92">
        <v>44583</v>
      </c>
      <c r="C48" s="55">
        <v>3.89</v>
      </c>
      <c r="D48" s="25">
        <f t="shared" ref="D48" si="6">C48-0.79</f>
        <v>3.1</v>
      </c>
    </row>
    <row r="49" spans="1:4" s="9" customFormat="1" ht="12" customHeight="1" x14ac:dyDescent="0.3">
      <c r="A49" s="114"/>
      <c r="B49" s="92">
        <v>44590</v>
      </c>
      <c r="C49" s="55">
        <v>4.17</v>
      </c>
      <c r="D49" s="25">
        <f t="shared" si="5"/>
        <v>3.38</v>
      </c>
    </row>
    <row r="50" spans="1:4" s="9" customFormat="1" ht="12" customHeight="1" x14ac:dyDescent="0.3">
      <c r="A50" s="114" t="s">
        <v>29</v>
      </c>
      <c r="B50" s="92">
        <v>44597</v>
      </c>
      <c r="C50" s="55">
        <v>4.17</v>
      </c>
      <c r="D50" s="25">
        <f t="shared" si="5"/>
        <v>3.38</v>
      </c>
    </row>
    <row r="51" spans="1:4" s="9" customFormat="1" ht="12" customHeight="1" x14ac:dyDescent="0.3">
      <c r="A51" s="114"/>
      <c r="B51" s="92">
        <v>44604</v>
      </c>
      <c r="C51" s="57">
        <v>4.1900000000000004</v>
      </c>
      <c r="D51" s="25">
        <f t="shared" si="5"/>
        <v>3.4000000000000004</v>
      </c>
    </row>
    <row r="52" spans="1:4" s="9" customFormat="1" ht="12" customHeight="1" x14ac:dyDescent="0.3">
      <c r="A52" s="114"/>
      <c r="B52" s="92">
        <v>44612</v>
      </c>
      <c r="C52" s="56">
        <v>4.3099999999999996</v>
      </c>
      <c r="D52" s="25">
        <f t="shared" si="5"/>
        <v>3.5199999999999996</v>
      </c>
    </row>
    <row r="53" spans="1:4" s="9" customFormat="1" ht="12" customHeight="1" x14ac:dyDescent="0.3">
      <c r="A53" s="114"/>
      <c r="B53" s="92">
        <v>44618</v>
      </c>
      <c r="C53" s="55">
        <v>4.41</v>
      </c>
      <c r="D53" s="25">
        <f t="shared" si="5"/>
        <v>3.62</v>
      </c>
    </row>
    <row r="54" spans="1:4" s="9" customFormat="1" ht="12" customHeight="1" x14ac:dyDescent="0.3">
      <c r="A54" s="114" t="s">
        <v>13</v>
      </c>
      <c r="B54" s="92">
        <v>44625</v>
      </c>
      <c r="C54" s="55">
        <v>4.49</v>
      </c>
      <c r="D54" s="25">
        <f t="shared" si="5"/>
        <v>3.7</v>
      </c>
    </row>
    <row r="55" spans="1:4" s="9" customFormat="1" ht="12" customHeight="1" x14ac:dyDescent="0.3">
      <c r="A55" s="114"/>
      <c r="B55" s="92">
        <v>44632</v>
      </c>
      <c r="C55" s="56">
        <v>4.49</v>
      </c>
      <c r="D55" s="25">
        <f t="shared" si="5"/>
        <v>3.7</v>
      </c>
    </row>
    <row r="56" spans="1:4" s="9" customFormat="1" ht="12" customHeight="1" x14ac:dyDescent="0.3">
      <c r="A56" s="114"/>
      <c r="B56" s="92">
        <v>44640</v>
      </c>
      <c r="C56" s="56">
        <v>4.74</v>
      </c>
      <c r="D56" s="25">
        <f t="shared" si="5"/>
        <v>3.95</v>
      </c>
    </row>
    <row r="57" spans="1:4" s="9" customFormat="1" ht="12" customHeight="1" x14ac:dyDescent="0.3">
      <c r="A57" s="114"/>
      <c r="B57" s="92">
        <v>44646</v>
      </c>
      <c r="C57" s="55">
        <v>4.8499999999999996</v>
      </c>
      <c r="D57" s="25">
        <f t="shared" si="5"/>
        <v>4.0599999999999996</v>
      </c>
    </row>
    <row r="58" spans="1:4" s="9" customFormat="1" ht="12" customHeight="1" x14ac:dyDescent="0.3">
      <c r="A58" s="114" t="s">
        <v>23</v>
      </c>
      <c r="B58" s="92">
        <v>44654</v>
      </c>
      <c r="C58" s="55">
        <v>4.93</v>
      </c>
      <c r="D58" s="25">
        <f t="shared" si="5"/>
        <v>4.1399999999999997</v>
      </c>
    </row>
    <row r="59" spans="1:4" s="9" customFormat="1" ht="12" customHeight="1" x14ac:dyDescent="0.3">
      <c r="A59" s="114"/>
      <c r="B59" s="92">
        <v>44661</v>
      </c>
      <c r="C59" s="56">
        <v>5.03</v>
      </c>
      <c r="D59" s="25">
        <f t="shared" si="5"/>
        <v>4.24</v>
      </c>
    </row>
    <row r="60" spans="1:4" s="9" customFormat="1" ht="12" customHeight="1" x14ac:dyDescent="0.3">
      <c r="A60" s="114"/>
      <c r="B60" s="92">
        <v>44667</v>
      </c>
      <c r="C60" s="56">
        <v>5.1100000000000003</v>
      </c>
      <c r="D60" s="25">
        <f t="shared" si="5"/>
        <v>4.32</v>
      </c>
    </row>
    <row r="61" spans="1:4" s="9" customFormat="1" ht="12" customHeight="1" x14ac:dyDescent="0.3">
      <c r="A61" s="114"/>
      <c r="B61" s="92">
        <v>44674</v>
      </c>
      <c r="C61" s="55">
        <v>5.15</v>
      </c>
      <c r="D61" s="25">
        <f t="shared" ref="D61" si="7">C61-0.79</f>
        <v>4.3600000000000003</v>
      </c>
    </row>
    <row r="62" spans="1:4" s="9" customFormat="1" ht="12" customHeight="1" x14ac:dyDescent="0.3">
      <c r="A62" s="114"/>
      <c r="B62" s="92">
        <v>44681</v>
      </c>
      <c r="C62" s="55">
        <v>5.0999999999999996</v>
      </c>
      <c r="D62" s="25">
        <f t="shared" si="5"/>
        <v>4.3099999999999996</v>
      </c>
    </row>
    <row r="63" spans="1:4" s="9" customFormat="1" ht="12" customHeight="1" x14ac:dyDescent="0.3">
      <c r="A63" s="114" t="s">
        <v>24</v>
      </c>
      <c r="B63" s="92">
        <v>44687</v>
      </c>
      <c r="C63" s="55">
        <v>5.0999999999999996</v>
      </c>
      <c r="D63" s="25">
        <f t="shared" ref="D63:D75" si="8">C63-0.79</f>
        <v>4.3099999999999996</v>
      </c>
    </row>
    <row r="64" spans="1:4" s="9" customFormat="1" ht="12" customHeight="1" x14ac:dyDescent="0.3">
      <c r="A64" s="114"/>
      <c r="B64" s="92">
        <v>44696</v>
      </c>
      <c r="C64" s="56">
        <v>4.62</v>
      </c>
      <c r="D64" s="25">
        <f t="shared" si="8"/>
        <v>3.83</v>
      </c>
    </row>
    <row r="65" spans="1:4" s="9" customFormat="1" ht="12" customHeight="1" x14ac:dyDescent="0.3">
      <c r="A65" s="114"/>
      <c r="B65" s="92">
        <v>44703</v>
      </c>
      <c r="C65" s="56">
        <v>4.25</v>
      </c>
      <c r="D65" s="25">
        <f t="shared" si="8"/>
        <v>3.46</v>
      </c>
    </row>
    <row r="66" spans="1:4" s="9" customFormat="1" ht="12" customHeight="1" x14ac:dyDescent="0.3">
      <c r="A66" s="114"/>
      <c r="B66" s="92">
        <v>44708</v>
      </c>
      <c r="C66" s="56">
        <v>4.2300000000000004</v>
      </c>
      <c r="D66" s="25">
        <f t="shared" si="8"/>
        <v>3.4400000000000004</v>
      </c>
    </row>
    <row r="67" spans="1:4" s="9" customFormat="1" ht="12" customHeight="1" x14ac:dyDescent="0.3">
      <c r="A67" s="107" t="s">
        <v>16</v>
      </c>
      <c r="B67" s="93">
        <v>44716</v>
      </c>
      <c r="C67" s="59">
        <v>4.54</v>
      </c>
      <c r="D67" s="27">
        <f t="shared" si="8"/>
        <v>3.75</v>
      </c>
    </row>
    <row r="68" spans="1:4" s="9" customFormat="1" ht="12" customHeight="1" x14ac:dyDescent="0.3">
      <c r="A68" s="107"/>
      <c r="B68" s="93">
        <v>44724</v>
      </c>
      <c r="C68" s="53">
        <v>4.79</v>
      </c>
      <c r="D68" s="27">
        <f t="shared" si="8"/>
        <v>4</v>
      </c>
    </row>
    <row r="69" spans="1:4" s="9" customFormat="1" ht="12" customHeight="1" x14ac:dyDescent="0.3">
      <c r="A69" s="107"/>
      <c r="B69" s="93">
        <v>44729</v>
      </c>
      <c r="C69" s="58">
        <v>3.69</v>
      </c>
      <c r="D69" s="27">
        <f t="shared" si="8"/>
        <v>2.9</v>
      </c>
    </row>
    <row r="70" spans="1:4" s="9" customFormat="1" ht="12" customHeight="1" x14ac:dyDescent="0.3">
      <c r="A70" s="107"/>
      <c r="B70" s="93">
        <v>44736</v>
      </c>
      <c r="C70" s="53">
        <v>3.17</v>
      </c>
      <c r="D70" s="27">
        <f t="shared" si="8"/>
        <v>2.38</v>
      </c>
    </row>
    <row r="71" spans="1:4" s="9" customFormat="1" ht="12" customHeight="1" x14ac:dyDescent="0.3">
      <c r="A71" s="107" t="s">
        <v>3</v>
      </c>
      <c r="B71" s="93">
        <v>44745</v>
      </c>
      <c r="C71" s="59">
        <v>2.84</v>
      </c>
      <c r="D71" s="27">
        <f t="shared" si="8"/>
        <v>2.0499999999999998</v>
      </c>
    </row>
    <row r="72" spans="1:4" s="9" customFormat="1" ht="12" customHeight="1" x14ac:dyDescent="0.3">
      <c r="A72" s="107"/>
      <c r="B72" s="93">
        <v>44751</v>
      </c>
      <c r="C72" s="53">
        <v>2.64</v>
      </c>
      <c r="D72" s="27">
        <f t="shared" si="8"/>
        <v>1.85</v>
      </c>
    </row>
    <row r="73" spans="1:4" s="9" customFormat="1" ht="12" customHeight="1" x14ac:dyDescent="0.3">
      <c r="A73" s="107"/>
      <c r="B73" s="93">
        <v>44758</v>
      </c>
      <c r="C73" s="58">
        <v>2.84</v>
      </c>
      <c r="D73" s="27">
        <f t="shared" si="8"/>
        <v>2.0499999999999998</v>
      </c>
    </row>
    <row r="74" spans="1:4" s="9" customFormat="1" ht="12" customHeight="1" x14ac:dyDescent="0.3">
      <c r="A74" s="107"/>
      <c r="B74" s="93">
        <v>44764</v>
      </c>
      <c r="C74" s="53">
        <v>2.59</v>
      </c>
      <c r="D74" s="27">
        <f t="shared" ref="D74" si="9">C74-0.79</f>
        <v>1.7999999999999998</v>
      </c>
    </row>
    <row r="75" spans="1:4" s="9" customFormat="1" ht="12" customHeight="1" x14ac:dyDescent="0.3">
      <c r="A75" s="107"/>
      <c r="B75" s="93">
        <v>44771</v>
      </c>
      <c r="C75" s="53">
        <v>2.41</v>
      </c>
      <c r="D75" s="27">
        <f t="shared" si="8"/>
        <v>1.62</v>
      </c>
    </row>
    <row r="76" spans="1:4" s="9" customFormat="1" ht="12" customHeight="1" x14ac:dyDescent="0.3">
      <c r="A76" s="107" t="s">
        <v>18</v>
      </c>
      <c r="B76" s="93">
        <v>44779</v>
      </c>
      <c r="C76" s="59">
        <v>2.48</v>
      </c>
      <c r="D76" s="27">
        <f t="shared" ref="D76:D81" si="10">C76-0.79</f>
        <v>1.69</v>
      </c>
    </row>
    <row r="77" spans="1:4" s="9" customFormat="1" ht="12" customHeight="1" x14ac:dyDescent="0.3">
      <c r="A77" s="107"/>
      <c r="B77" s="93">
        <v>44785</v>
      </c>
      <c r="C77" s="53">
        <v>2</v>
      </c>
      <c r="D77" s="27">
        <f t="shared" si="10"/>
        <v>1.21</v>
      </c>
    </row>
    <row r="78" spans="1:4" s="9" customFormat="1" ht="12" customHeight="1" x14ac:dyDescent="0.3">
      <c r="A78" s="107"/>
      <c r="B78" s="93">
        <v>44799</v>
      </c>
      <c r="C78" s="58">
        <v>1.58</v>
      </c>
      <c r="D78" s="27">
        <f t="shared" si="10"/>
        <v>0.79</v>
      </c>
    </row>
    <row r="79" spans="1:4" s="9" customFormat="1" ht="12" customHeight="1" x14ac:dyDescent="0.3">
      <c r="A79" s="107" t="s">
        <v>25</v>
      </c>
      <c r="B79" s="93">
        <v>44806</v>
      </c>
      <c r="C79" s="58">
        <v>1.0900000000000001</v>
      </c>
      <c r="D79" s="27">
        <f t="shared" si="10"/>
        <v>0.30000000000000004</v>
      </c>
    </row>
    <row r="80" spans="1:4" s="9" customFormat="1" ht="12" customHeight="1" x14ac:dyDescent="0.3">
      <c r="A80" s="107"/>
      <c r="B80" s="93">
        <v>44813</v>
      </c>
      <c r="C80" s="58">
        <v>1.28</v>
      </c>
      <c r="D80" s="27">
        <f t="shared" si="10"/>
        <v>0.49</v>
      </c>
    </row>
    <row r="81" spans="1:4" s="9" customFormat="1" ht="12" customHeight="1" x14ac:dyDescent="0.3">
      <c r="A81" s="107"/>
      <c r="B81" s="93">
        <v>44821</v>
      </c>
      <c r="C81" s="58">
        <v>1.01</v>
      </c>
      <c r="D81" s="27">
        <f t="shared" si="10"/>
        <v>0.21999999999999997</v>
      </c>
    </row>
    <row r="82" spans="1:4" s="9" customFormat="1" ht="12" customHeight="1" x14ac:dyDescent="0.3">
      <c r="A82" s="112"/>
      <c r="B82" s="93">
        <v>44841</v>
      </c>
      <c r="C82" s="58">
        <v>1.01</v>
      </c>
      <c r="D82" s="27">
        <f t="shared" ref="D82:D85" si="11">C82-0.79</f>
        <v>0.21999999999999997</v>
      </c>
    </row>
    <row r="83" spans="1:4" s="9" customFormat="1" ht="12" customHeight="1" x14ac:dyDescent="0.3">
      <c r="A83" s="112"/>
      <c r="B83" s="93">
        <v>44848</v>
      </c>
      <c r="C83" s="58">
        <v>1.2</v>
      </c>
      <c r="D83" s="27">
        <f t="shared" si="11"/>
        <v>0.40999999999999992</v>
      </c>
    </row>
    <row r="84" spans="1:4" s="9" customFormat="1" ht="12" customHeight="1" x14ac:dyDescent="0.3">
      <c r="A84" s="112"/>
      <c r="B84" s="93">
        <v>44855</v>
      </c>
      <c r="C84" s="60">
        <v>1.34</v>
      </c>
      <c r="D84" s="25">
        <f t="shared" si="11"/>
        <v>0.55000000000000004</v>
      </c>
    </row>
    <row r="85" spans="1:4" s="9" customFormat="1" ht="12" customHeight="1" x14ac:dyDescent="0.3">
      <c r="A85" s="113"/>
      <c r="B85" s="93">
        <v>44862</v>
      </c>
      <c r="C85" s="17">
        <v>1.65</v>
      </c>
      <c r="D85" s="25">
        <f t="shared" si="11"/>
        <v>0.85999999999999988</v>
      </c>
    </row>
    <row r="86" spans="1:4" s="9" customFormat="1" ht="12" customHeight="1" x14ac:dyDescent="0.3">
      <c r="A86" s="112" t="s">
        <v>27</v>
      </c>
      <c r="B86" s="93">
        <v>44870</v>
      </c>
      <c r="C86" s="58">
        <v>2.02</v>
      </c>
      <c r="D86" s="27">
        <f t="shared" ref="D86:D93" si="12">C86-0.79</f>
        <v>1.23</v>
      </c>
    </row>
    <row r="87" spans="1:4" s="9" customFormat="1" ht="12" customHeight="1" x14ac:dyDescent="0.3">
      <c r="A87" s="112"/>
      <c r="B87" s="93">
        <v>44877</v>
      </c>
      <c r="C87" s="58">
        <v>2.2599999999999998</v>
      </c>
      <c r="D87" s="27">
        <f t="shared" si="12"/>
        <v>1.4699999999999998</v>
      </c>
    </row>
    <row r="88" spans="1:4" s="9" customFormat="1" ht="12" customHeight="1" x14ac:dyDescent="0.3">
      <c r="A88" s="112"/>
      <c r="B88" s="93">
        <v>44883</v>
      </c>
      <c r="C88" s="60">
        <v>2.4900000000000002</v>
      </c>
      <c r="D88" s="25">
        <f t="shared" si="12"/>
        <v>1.7000000000000002</v>
      </c>
    </row>
    <row r="89" spans="1:4" s="9" customFormat="1" ht="12" customHeight="1" thickBot="1" x14ac:dyDescent="0.35">
      <c r="A89" s="112"/>
      <c r="B89" s="94">
        <v>44890</v>
      </c>
      <c r="C89" s="15">
        <v>2.75</v>
      </c>
      <c r="D89" s="35">
        <f t="shared" si="12"/>
        <v>1.96</v>
      </c>
    </row>
    <row r="90" spans="1:4" s="9" customFormat="1" ht="12" customHeight="1" x14ac:dyDescent="0.3">
      <c r="A90" s="123" t="s">
        <v>28</v>
      </c>
      <c r="B90" s="95">
        <v>44897</v>
      </c>
      <c r="C90" s="76">
        <v>2.97</v>
      </c>
      <c r="D90" s="38">
        <f t="shared" si="12"/>
        <v>2.1800000000000002</v>
      </c>
    </row>
    <row r="91" spans="1:4" s="9" customFormat="1" ht="12" customHeight="1" x14ac:dyDescent="0.3">
      <c r="A91" s="124"/>
      <c r="B91" s="93">
        <v>44905</v>
      </c>
      <c r="C91" s="58">
        <v>3.16</v>
      </c>
      <c r="D91" s="27">
        <f t="shared" si="12"/>
        <v>2.37</v>
      </c>
    </row>
    <row r="92" spans="1:4" s="9" customFormat="1" ht="12" customHeight="1" thickBot="1" x14ac:dyDescent="0.35">
      <c r="A92" s="125"/>
      <c r="B92" s="96">
        <v>44926</v>
      </c>
      <c r="C92" s="62">
        <v>3.62</v>
      </c>
      <c r="D92" s="41">
        <f t="shared" si="12"/>
        <v>2.83</v>
      </c>
    </row>
    <row r="93" spans="1:4" s="9" customFormat="1" ht="12" customHeight="1" thickBot="1" x14ac:dyDescent="0.35">
      <c r="A93" s="102" t="s">
        <v>20</v>
      </c>
      <c r="B93" s="95">
        <v>44932</v>
      </c>
      <c r="C93" s="42">
        <v>3.79</v>
      </c>
      <c r="D93" s="38">
        <f t="shared" si="12"/>
        <v>3</v>
      </c>
    </row>
    <row r="94" spans="1:4" s="9" customFormat="1" ht="12" customHeight="1" thickBot="1" x14ac:dyDescent="0.35">
      <c r="A94" s="102" t="s">
        <v>36</v>
      </c>
      <c r="B94" s="95">
        <v>44960</v>
      </c>
      <c r="C94" s="42">
        <v>4.28</v>
      </c>
      <c r="D94" s="38">
        <f t="shared" ref="D94" si="13">C94-0.79</f>
        <v>3.49</v>
      </c>
    </row>
    <row r="95" spans="1:4" s="9" customFormat="1" ht="12" customHeight="1" x14ac:dyDescent="0.3">
      <c r="A95" s="146" t="s">
        <v>13</v>
      </c>
      <c r="B95" s="95">
        <v>44989</v>
      </c>
      <c r="C95" s="42">
        <v>4.6500000000000004</v>
      </c>
      <c r="D95" s="38">
        <f t="shared" ref="D95:D96" si="14">C95-0.79</f>
        <v>3.8600000000000003</v>
      </c>
    </row>
    <row r="96" spans="1:4" s="9" customFormat="1" ht="12" customHeight="1" x14ac:dyDescent="0.3">
      <c r="A96" s="144"/>
      <c r="B96" s="93">
        <v>45004</v>
      </c>
      <c r="C96" s="17">
        <v>4.8899999999999997</v>
      </c>
      <c r="D96" s="27">
        <f t="shared" si="14"/>
        <v>4.0999999999999996</v>
      </c>
    </row>
    <row r="97" spans="1:4" s="9" customFormat="1" ht="12" customHeight="1" x14ac:dyDescent="0.3">
      <c r="A97" s="144"/>
      <c r="B97" s="93">
        <v>45009</v>
      </c>
      <c r="C97" s="17">
        <v>4.63</v>
      </c>
      <c r="D97" s="27">
        <f>C97-0.79</f>
        <v>3.84</v>
      </c>
    </row>
    <row r="98" spans="1:4" s="86" customFormat="1" ht="12" customHeight="1" thickBot="1" x14ac:dyDescent="0.35">
      <c r="A98" s="145"/>
      <c r="B98" s="96">
        <v>45016</v>
      </c>
      <c r="C98" s="62">
        <v>5.04</v>
      </c>
      <c r="D98" s="62">
        <f>C98-0.79</f>
        <v>4.25</v>
      </c>
    </row>
    <row r="99" spans="1:4" s="86" customFormat="1" ht="12" customHeight="1" thickBot="1" x14ac:dyDescent="0.35">
      <c r="A99" s="103"/>
      <c r="B99" s="34">
        <v>45045</v>
      </c>
      <c r="C99" s="61">
        <v>3.95</v>
      </c>
      <c r="D99" s="61">
        <f>C99-0.79</f>
        <v>3.16</v>
      </c>
    </row>
    <row r="100" spans="1:4" s="9" customFormat="1" ht="12" customHeight="1" x14ac:dyDescent="0.3">
      <c r="A100" s="146" t="s">
        <v>24</v>
      </c>
      <c r="B100" s="36">
        <v>45051</v>
      </c>
      <c r="C100" s="43">
        <v>4.0999999999999996</v>
      </c>
      <c r="D100" s="82">
        <f t="shared" ref="D100" si="15">C100-0.79</f>
        <v>3.3099999999999996</v>
      </c>
    </row>
    <row r="101" spans="1:4" s="9" customFormat="1" ht="12" customHeight="1" x14ac:dyDescent="0.3">
      <c r="A101" s="144"/>
      <c r="B101" s="29">
        <v>45059</v>
      </c>
      <c r="C101" s="31">
        <v>3.56</v>
      </c>
      <c r="D101" s="53">
        <f>C101-0.79</f>
        <v>2.77</v>
      </c>
    </row>
    <row r="102" spans="1:4" s="9" customFormat="1" ht="12" customHeight="1" x14ac:dyDescent="0.3">
      <c r="A102" s="141"/>
      <c r="B102" s="29">
        <v>45102</v>
      </c>
      <c r="C102" s="31">
        <v>3.41</v>
      </c>
      <c r="D102" s="53">
        <f t="shared" ref="D102:D105" si="16">C102-0.79</f>
        <v>2.62</v>
      </c>
    </row>
    <row r="103" spans="1:4" s="86" customFormat="1" ht="12" customHeight="1" x14ac:dyDescent="0.3">
      <c r="A103" s="139"/>
      <c r="B103" s="34">
        <v>45107</v>
      </c>
      <c r="C103" s="78">
        <v>3.06</v>
      </c>
      <c r="D103" s="97">
        <f t="shared" si="16"/>
        <v>2.27</v>
      </c>
    </row>
    <row r="104" spans="1:4" s="9" customFormat="1" ht="12" customHeight="1" x14ac:dyDescent="0.3">
      <c r="A104" s="106"/>
      <c r="B104" s="29">
        <v>45129</v>
      </c>
      <c r="C104" s="17">
        <v>2.59</v>
      </c>
      <c r="D104" s="53">
        <f t="shared" si="16"/>
        <v>1.7999999999999998</v>
      </c>
    </row>
    <row r="105" spans="1:4" s="9" customFormat="1" ht="12" customHeight="1" thickBot="1" x14ac:dyDescent="0.35">
      <c r="A105" s="105"/>
      <c r="B105" s="39">
        <v>45135</v>
      </c>
      <c r="C105" s="62">
        <v>2.82</v>
      </c>
      <c r="D105" s="62">
        <f t="shared" si="16"/>
        <v>2.0299999999999998</v>
      </c>
    </row>
    <row r="106" spans="1:4" s="9" customFormat="1" ht="12" customHeight="1" x14ac:dyDescent="0.3">
      <c r="A106" s="104" t="s">
        <v>18</v>
      </c>
      <c r="B106" s="50">
        <v>45143</v>
      </c>
      <c r="C106" s="43">
        <v>2.5</v>
      </c>
      <c r="D106" s="53">
        <f t="shared" ref="D106:D107" si="17">C106-0.79</f>
        <v>1.71</v>
      </c>
    </row>
    <row r="107" spans="1:4" s="9" customFormat="1" ht="12" customHeight="1" thickBot="1" x14ac:dyDescent="0.35">
      <c r="A107" s="105"/>
      <c r="B107" s="52">
        <v>45163</v>
      </c>
      <c r="C107" s="12">
        <v>2</v>
      </c>
      <c r="D107" s="62">
        <f t="shared" si="17"/>
        <v>1.21</v>
      </c>
    </row>
    <row r="108" spans="1:4" ht="15" customHeight="1" x14ac:dyDescent="0.3"/>
    <row r="109" spans="1:4" ht="15" customHeight="1" x14ac:dyDescent="0.3"/>
    <row r="110" spans="1:4" ht="15" customHeight="1" x14ac:dyDescent="0.3"/>
    <row r="111" spans="1:4" ht="15" customHeight="1" x14ac:dyDescent="0.3"/>
    <row r="112" spans="1:4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</sheetData>
  <mergeCells count="31">
    <mergeCell ref="A76:A78"/>
    <mergeCell ref="A63:A66"/>
    <mergeCell ref="A71:A75"/>
    <mergeCell ref="C1:D1"/>
    <mergeCell ref="A26:A28"/>
    <mergeCell ref="A67:A70"/>
    <mergeCell ref="A29:A30"/>
    <mergeCell ref="A42:A45"/>
    <mergeCell ref="A31:A34"/>
    <mergeCell ref="A1:B1"/>
    <mergeCell ref="A95:A98"/>
    <mergeCell ref="A86:A89"/>
    <mergeCell ref="A90:A92"/>
    <mergeCell ref="A82:A85"/>
    <mergeCell ref="A79:A81"/>
    <mergeCell ref="A106:A107"/>
    <mergeCell ref="A104:A105"/>
    <mergeCell ref="A18:A22"/>
    <mergeCell ref="A3:A5"/>
    <mergeCell ref="A6:A9"/>
    <mergeCell ref="A10:A13"/>
    <mergeCell ref="A14:A17"/>
    <mergeCell ref="A23:A25"/>
    <mergeCell ref="A58:A62"/>
    <mergeCell ref="A46:A49"/>
    <mergeCell ref="A35:A38"/>
    <mergeCell ref="A54:A57"/>
    <mergeCell ref="A50:A53"/>
    <mergeCell ref="A102:A103"/>
    <mergeCell ref="A100:A101"/>
    <mergeCell ref="A39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9C03-C5FC-43DF-BD6E-60A391E6A9DC}">
  <dimension ref="A1:C3"/>
  <sheetViews>
    <sheetView zoomScale="85" zoomScaleNormal="85" workbookViewId="0">
      <selection activeCell="C3" sqref="C3"/>
    </sheetView>
  </sheetViews>
  <sheetFormatPr baseColWidth="10" defaultRowHeight="14.5" x14ac:dyDescent="0.35"/>
  <cols>
    <col min="1" max="1" width="19.1796875" customWidth="1"/>
    <col min="2" max="2" width="17.6328125" customWidth="1"/>
    <col min="3" max="3" width="17.7265625" customWidth="1"/>
  </cols>
  <sheetData>
    <row r="1" spans="1:3" x14ac:dyDescent="0.35">
      <c r="A1" s="119" t="s">
        <v>59</v>
      </c>
      <c r="B1" s="119"/>
      <c r="C1" s="148" t="s">
        <v>60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58</v>
      </c>
      <c r="B3" s="147" t="s">
        <v>56</v>
      </c>
      <c r="C3" s="147">
        <v>53.79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6D16-4A04-4313-97F7-9CF54A0D824B}">
  <dimension ref="A1:C4"/>
  <sheetViews>
    <sheetView workbookViewId="0">
      <selection activeCell="D6" sqref="D6"/>
    </sheetView>
  </sheetViews>
  <sheetFormatPr baseColWidth="10" defaultRowHeight="14.5" x14ac:dyDescent="0.35"/>
  <cols>
    <col min="2" max="2" width="19.54296875" customWidth="1"/>
    <col min="3" max="3" width="19.1796875" customWidth="1"/>
  </cols>
  <sheetData>
    <row r="1" spans="1:3" x14ac:dyDescent="0.35">
      <c r="A1" s="119" t="s">
        <v>59</v>
      </c>
      <c r="B1" s="119"/>
      <c r="C1" s="148" t="s">
        <v>61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62</v>
      </c>
      <c r="B3" s="149">
        <v>45275</v>
      </c>
      <c r="C3" s="150">
        <v>51.59</v>
      </c>
    </row>
    <row r="4" spans="1:3" ht="15" thickBot="1" x14ac:dyDescent="0.4">
      <c r="A4" t="s">
        <v>58</v>
      </c>
      <c r="B4" s="147" t="s">
        <v>63</v>
      </c>
      <c r="C4" s="147">
        <v>52.69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7D6A-E355-4164-89D9-A002397F42BE}">
  <dimension ref="A1:C4"/>
  <sheetViews>
    <sheetView workbookViewId="0">
      <selection activeCell="C13" sqref="C13"/>
    </sheetView>
  </sheetViews>
  <sheetFormatPr baseColWidth="10" defaultRowHeight="14.5" x14ac:dyDescent="0.35"/>
  <cols>
    <col min="2" max="2" width="23.54296875" customWidth="1"/>
    <col min="3" max="3" width="25.90625" customWidth="1"/>
  </cols>
  <sheetData>
    <row r="1" spans="1:3" x14ac:dyDescent="0.35">
      <c r="A1" s="119" t="s">
        <v>59</v>
      </c>
      <c r="B1" s="119"/>
      <c r="C1" s="148" t="s">
        <v>64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20</v>
      </c>
      <c r="B3" s="149">
        <v>45319</v>
      </c>
      <c r="C3" s="150">
        <v>40.69</v>
      </c>
    </row>
    <row r="4" spans="1:3" ht="15" thickBot="1" x14ac:dyDescent="0.4">
      <c r="A4" t="s">
        <v>58</v>
      </c>
      <c r="B4" s="147" t="s">
        <v>63</v>
      </c>
      <c r="C4" s="147">
        <v>40.89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33AC-C614-4536-8A04-B14D5498566E}">
  <dimension ref="A1:C4"/>
  <sheetViews>
    <sheetView workbookViewId="0">
      <selection activeCell="D10" sqref="D10"/>
    </sheetView>
  </sheetViews>
  <sheetFormatPr baseColWidth="10" defaultRowHeight="14.5" x14ac:dyDescent="0.35"/>
  <cols>
    <col min="2" max="2" width="22.08984375" customWidth="1"/>
    <col min="3" max="3" width="16.453125" customWidth="1"/>
  </cols>
  <sheetData>
    <row r="1" spans="1:3" x14ac:dyDescent="0.35">
      <c r="A1" s="119" t="s">
        <v>59</v>
      </c>
      <c r="B1" s="119"/>
      <c r="C1" s="148" t="s">
        <v>65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62</v>
      </c>
      <c r="B3" s="149">
        <v>45269</v>
      </c>
      <c r="C3" s="150">
        <v>45.09</v>
      </c>
    </row>
    <row r="4" spans="1:3" ht="15" thickBot="1" x14ac:dyDescent="0.4">
      <c r="A4" t="s">
        <v>58</v>
      </c>
      <c r="B4" s="147" t="s">
        <v>63</v>
      </c>
      <c r="C4" s="147">
        <v>46.59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3402-6AA8-4174-9AE9-88AA304F2D69}">
  <dimension ref="A1:C4"/>
  <sheetViews>
    <sheetView workbookViewId="0">
      <selection activeCell="C4" sqref="C4"/>
    </sheetView>
  </sheetViews>
  <sheetFormatPr baseColWidth="10" defaultRowHeight="14.5" x14ac:dyDescent="0.35"/>
  <cols>
    <col min="2" max="2" width="23.90625" customWidth="1"/>
    <col min="3" max="3" width="22.26953125" customWidth="1"/>
  </cols>
  <sheetData>
    <row r="1" spans="1:3" x14ac:dyDescent="0.35">
      <c r="A1" s="119" t="s">
        <v>59</v>
      </c>
      <c r="B1" s="119"/>
      <c r="C1" s="148" t="s">
        <v>66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62</v>
      </c>
      <c r="B3" s="149">
        <v>45275</v>
      </c>
      <c r="C3" s="150">
        <v>37.590000000000003</v>
      </c>
    </row>
    <row r="4" spans="1:3" ht="15" thickBot="1" x14ac:dyDescent="0.4">
      <c r="A4" t="s">
        <v>58</v>
      </c>
      <c r="B4" s="147" t="s">
        <v>63</v>
      </c>
      <c r="C4" s="147">
        <v>38.69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0A0A-DB02-4C38-8682-B396212D4A17}">
  <dimension ref="A1:C4"/>
  <sheetViews>
    <sheetView workbookViewId="0">
      <selection activeCell="C6" sqref="C6"/>
    </sheetView>
  </sheetViews>
  <sheetFormatPr baseColWidth="10" defaultRowHeight="14.5" x14ac:dyDescent="0.35"/>
  <cols>
    <col min="2" max="2" width="24.1796875" customWidth="1"/>
    <col min="3" max="3" width="21.453125" customWidth="1"/>
  </cols>
  <sheetData>
    <row r="1" spans="1:3" x14ac:dyDescent="0.35">
      <c r="A1" s="119" t="s">
        <v>59</v>
      </c>
      <c r="B1" s="119"/>
      <c r="C1" s="148" t="s">
        <v>67</v>
      </c>
    </row>
    <row r="2" spans="1:3" x14ac:dyDescent="0.35">
      <c r="A2" s="18" t="s">
        <v>38</v>
      </c>
      <c r="B2" s="54" t="s">
        <v>0</v>
      </c>
      <c r="C2" s="13" t="s">
        <v>57</v>
      </c>
    </row>
    <row r="3" spans="1:3" ht="15" thickBot="1" x14ac:dyDescent="0.4">
      <c r="A3" s="15" t="s">
        <v>62</v>
      </c>
      <c r="B3" s="149">
        <v>45275</v>
      </c>
      <c r="C3" s="150">
        <v>59.59</v>
      </c>
    </row>
    <row r="4" spans="1:3" ht="15" thickBot="1" x14ac:dyDescent="0.4">
      <c r="A4" t="s">
        <v>58</v>
      </c>
      <c r="B4" s="147" t="s">
        <v>63</v>
      </c>
      <c r="C4" s="147">
        <v>61.29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WGWP2</vt:lpstr>
      <vt:lpstr>WGWP6</vt:lpstr>
      <vt:lpstr>WGWP4</vt:lpstr>
      <vt:lpstr>WGWP9</vt:lpstr>
      <vt:lpstr>WGWP10</vt:lpstr>
      <vt:lpstr>WGWP11</vt:lpstr>
      <vt:lpstr>WGWP12</vt:lpstr>
      <vt:lpstr>WGWP8</vt:lpstr>
      <vt:lpstr>WGWP5</vt:lpstr>
      <vt:lpstr>WGWP13</vt:lpstr>
      <vt:lpstr>WGWP14</vt:lpstr>
      <vt:lpstr>WGWP15</vt:lpstr>
      <vt:lpstr>WGWP16</vt:lpstr>
      <vt:lpstr>WGWP17</vt:lpstr>
      <vt:lpstr>WGWP18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2026-03-28T16:41:28Z</dcterms:modified>
</cp:coreProperties>
</file>