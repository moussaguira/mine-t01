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ml.chartshapes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esktop\documents\THESE\Thèse nouveau\Donnees Mine\HYDRO\pluvio\"/>
    </mc:Choice>
  </mc:AlternateContent>
  <bookViews>
    <workbookView xWindow="-105" yWindow="-105" windowWidth="19425" windowHeight="10425" activeTab="2"/>
  </bookViews>
  <sheets>
    <sheet name="WGO 2020" sheetId="12" r:id="rId1"/>
    <sheet name="PLUVIO" sheetId="40" r:id="rId2"/>
    <sheet name=" pluvio men" sheetId="41" r:id="rId3"/>
    <sheet name="WGO 2021" sheetId="20" r:id="rId4"/>
    <sheet name="WGO 2022" sheetId="28" r:id="rId5"/>
    <sheet name="WGO 2023" sheetId="39" r:id="rId6"/>
  </sheets>
  <definedNames>
    <definedName name="_xlnm.Print_Area" localSheetId="0">'WGO 2020'!$B$1:$U$368</definedName>
    <definedName name="_xlnm.Print_Area" localSheetId="3">'WGO 2021'!$B$1:$Z$367</definedName>
    <definedName name="_xlnm.Print_Area" localSheetId="4">'WGO 2022'!$B$1:$AA$367</definedName>
    <definedName name="_xlnm.Print_Area" localSheetId="5">'WGO 2023'!$B$1:$AB$367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68" i="12" l="1"/>
  <c r="C146" i="39" l="1"/>
  <c r="C147" i="39"/>
  <c r="C148" i="39"/>
  <c r="C149" i="39"/>
  <c r="C150" i="39"/>
  <c r="C151" i="39"/>
  <c r="C152" i="39"/>
  <c r="C142" i="39"/>
  <c r="C143" i="39"/>
  <c r="C144" i="39"/>
  <c r="C145" i="39"/>
  <c r="C153" i="39"/>
  <c r="L367" i="39"/>
  <c r="J367" i="39"/>
  <c r="H367" i="39"/>
  <c r="G367" i="39"/>
  <c r="F367" i="39"/>
  <c r="E367" i="39"/>
  <c r="D367" i="39"/>
  <c r="C366" i="39"/>
  <c r="C365" i="39"/>
  <c r="A365" i="39"/>
  <c r="C364" i="39"/>
  <c r="A364" i="39"/>
  <c r="C363" i="39"/>
  <c r="A363" i="39"/>
  <c r="C362" i="39"/>
  <c r="A362" i="39"/>
  <c r="C361" i="39"/>
  <c r="A361" i="39"/>
  <c r="C360" i="39"/>
  <c r="A360" i="39"/>
  <c r="C359" i="39"/>
  <c r="A359" i="39"/>
  <c r="C358" i="39"/>
  <c r="A358" i="39"/>
  <c r="C357" i="39"/>
  <c r="A357" i="39"/>
  <c r="C356" i="39"/>
  <c r="A356" i="39"/>
  <c r="C355" i="39"/>
  <c r="A355" i="39"/>
  <c r="C354" i="39"/>
  <c r="A354" i="39"/>
  <c r="C353" i="39"/>
  <c r="A353" i="39"/>
  <c r="C352" i="39"/>
  <c r="A352" i="39"/>
  <c r="C351" i="39"/>
  <c r="A351" i="39"/>
  <c r="C350" i="39"/>
  <c r="A350" i="39"/>
  <c r="C349" i="39"/>
  <c r="A349" i="39"/>
  <c r="C348" i="39"/>
  <c r="A348" i="39"/>
  <c r="C347" i="39"/>
  <c r="A347" i="39"/>
  <c r="C346" i="39"/>
  <c r="A346" i="39"/>
  <c r="C345" i="39"/>
  <c r="A345" i="39"/>
  <c r="C344" i="39"/>
  <c r="A344" i="39"/>
  <c r="C343" i="39"/>
  <c r="A343" i="39"/>
  <c r="C342" i="39"/>
  <c r="A342" i="39"/>
  <c r="C341" i="39"/>
  <c r="A341" i="39"/>
  <c r="C340" i="39"/>
  <c r="A340" i="39"/>
  <c r="C339" i="39"/>
  <c r="A339" i="39"/>
  <c r="C338" i="39"/>
  <c r="A338" i="39"/>
  <c r="C337" i="39"/>
  <c r="A337" i="39"/>
  <c r="C336" i="39"/>
  <c r="A336" i="39"/>
  <c r="C335" i="39"/>
  <c r="A335" i="39"/>
  <c r="C334" i="39"/>
  <c r="A334" i="39"/>
  <c r="C333" i="39"/>
  <c r="C332" i="39"/>
  <c r="A332" i="39"/>
  <c r="C331" i="39"/>
  <c r="A331" i="39"/>
  <c r="C330" i="39"/>
  <c r="A330" i="39"/>
  <c r="C329" i="39"/>
  <c r="A329" i="39"/>
  <c r="C328" i="39"/>
  <c r="A328" i="39"/>
  <c r="C327" i="39"/>
  <c r="A327" i="39"/>
  <c r="C326" i="39"/>
  <c r="A326" i="39"/>
  <c r="C325" i="39"/>
  <c r="A325" i="39"/>
  <c r="C324" i="39"/>
  <c r="A324" i="39"/>
  <c r="C323" i="39"/>
  <c r="A323" i="39"/>
  <c r="C322" i="39"/>
  <c r="A322" i="39"/>
  <c r="C321" i="39"/>
  <c r="A321" i="39"/>
  <c r="C320" i="39"/>
  <c r="A320" i="39"/>
  <c r="C319" i="39"/>
  <c r="A319" i="39"/>
  <c r="C318" i="39"/>
  <c r="A318" i="39"/>
  <c r="C317" i="39"/>
  <c r="A317" i="39"/>
  <c r="C316" i="39"/>
  <c r="A316" i="39"/>
  <c r="C315" i="39"/>
  <c r="A315" i="39"/>
  <c r="C314" i="39"/>
  <c r="A314" i="39"/>
  <c r="C313" i="39"/>
  <c r="A313" i="39"/>
  <c r="C312" i="39"/>
  <c r="A312" i="39"/>
  <c r="C311" i="39"/>
  <c r="A311" i="39"/>
  <c r="C310" i="39"/>
  <c r="A310" i="39"/>
  <c r="C309" i="39"/>
  <c r="A309" i="39"/>
  <c r="C308" i="39"/>
  <c r="A308" i="39"/>
  <c r="C307" i="39"/>
  <c r="A307" i="39"/>
  <c r="C306" i="39"/>
  <c r="A306" i="39"/>
  <c r="C305" i="39"/>
  <c r="A305" i="39"/>
  <c r="C304" i="39"/>
  <c r="A304" i="39"/>
  <c r="C303" i="39"/>
  <c r="A303" i="39"/>
  <c r="C302" i="39"/>
  <c r="A302" i="39"/>
  <c r="C301" i="39"/>
  <c r="A301" i="39"/>
  <c r="C300" i="39"/>
  <c r="A300" i="39"/>
  <c r="C299" i="39"/>
  <c r="A299" i="39"/>
  <c r="C298" i="39"/>
  <c r="A298" i="39"/>
  <c r="C297" i="39"/>
  <c r="A297" i="39"/>
  <c r="C296" i="39"/>
  <c r="A296" i="39"/>
  <c r="C295" i="39"/>
  <c r="A295" i="39"/>
  <c r="C294" i="39"/>
  <c r="A294" i="39"/>
  <c r="C293" i="39"/>
  <c r="A293" i="39"/>
  <c r="C292" i="39"/>
  <c r="A292" i="39"/>
  <c r="C291" i="39"/>
  <c r="A291" i="39"/>
  <c r="C290" i="39"/>
  <c r="A290" i="39"/>
  <c r="C289" i="39"/>
  <c r="A289" i="39"/>
  <c r="C288" i="39"/>
  <c r="A288" i="39"/>
  <c r="C287" i="39"/>
  <c r="A287" i="39"/>
  <c r="C286" i="39"/>
  <c r="A286" i="39"/>
  <c r="C285" i="39"/>
  <c r="A285" i="39"/>
  <c r="C284" i="39"/>
  <c r="A284" i="39"/>
  <c r="C283" i="39"/>
  <c r="A283" i="39"/>
  <c r="C282" i="39"/>
  <c r="A282" i="39"/>
  <c r="C281" i="39"/>
  <c r="A281" i="39"/>
  <c r="C280" i="39"/>
  <c r="A280" i="39"/>
  <c r="C279" i="39"/>
  <c r="A279" i="39"/>
  <c r="C278" i="39"/>
  <c r="A278" i="39"/>
  <c r="C277" i="39"/>
  <c r="A277" i="39"/>
  <c r="C276" i="39"/>
  <c r="A276" i="39"/>
  <c r="C275" i="39"/>
  <c r="A275" i="39"/>
  <c r="C274" i="39"/>
  <c r="A274" i="39"/>
  <c r="C273" i="39"/>
  <c r="C272" i="39"/>
  <c r="A272" i="39"/>
  <c r="C271" i="39"/>
  <c r="A271" i="39"/>
  <c r="C270" i="39"/>
  <c r="A270" i="39"/>
  <c r="C269" i="39"/>
  <c r="A269" i="39"/>
  <c r="C268" i="39"/>
  <c r="A268" i="39"/>
  <c r="C267" i="39"/>
  <c r="A267" i="39"/>
  <c r="C266" i="39"/>
  <c r="A266" i="39"/>
  <c r="C265" i="39"/>
  <c r="A265" i="39"/>
  <c r="C264" i="39"/>
  <c r="A264" i="39"/>
  <c r="C263" i="39"/>
  <c r="A263" i="39"/>
  <c r="C262" i="39"/>
  <c r="A262" i="39"/>
  <c r="C261" i="39"/>
  <c r="A261" i="39"/>
  <c r="C260" i="39"/>
  <c r="A260" i="39"/>
  <c r="C259" i="39"/>
  <c r="A259" i="39"/>
  <c r="C258" i="39"/>
  <c r="A258" i="39"/>
  <c r="C257" i="39"/>
  <c r="A257" i="39"/>
  <c r="C256" i="39"/>
  <c r="A256" i="39"/>
  <c r="C255" i="39"/>
  <c r="A255" i="39"/>
  <c r="C254" i="39"/>
  <c r="A254" i="39"/>
  <c r="C253" i="39"/>
  <c r="A253" i="39"/>
  <c r="C252" i="39"/>
  <c r="A252" i="39"/>
  <c r="C251" i="39"/>
  <c r="A251" i="39"/>
  <c r="C250" i="39"/>
  <c r="A250" i="39"/>
  <c r="C249" i="39"/>
  <c r="A249" i="39"/>
  <c r="C248" i="39"/>
  <c r="A248" i="39"/>
  <c r="C247" i="39"/>
  <c r="A247" i="39"/>
  <c r="C246" i="39"/>
  <c r="A246" i="39"/>
  <c r="C245" i="39"/>
  <c r="A245" i="39"/>
  <c r="C244" i="39"/>
  <c r="A244" i="39"/>
  <c r="C243" i="39"/>
  <c r="C242" i="39"/>
  <c r="A242" i="39"/>
  <c r="C241" i="39"/>
  <c r="A241" i="39"/>
  <c r="C240" i="39"/>
  <c r="A240" i="39"/>
  <c r="C239" i="39"/>
  <c r="A239" i="39"/>
  <c r="C238" i="39"/>
  <c r="A238" i="39"/>
  <c r="C237" i="39"/>
  <c r="A237" i="39"/>
  <c r="C236" i="39"/>
  <c r="A236" i="39"/>
  <c r="C235" i="39"/>
  <c r="A235" i="39"/>
  <c r="C234" i="39"/>
  <c r="A234" i="39"/>
  <c r="C233" i="39"/>
  <c r="A233" i="39"/>
  <c r="C232" i="39"/>
  <c r="A232" i="39"/>
  <c r="C231" i="39"/>
  <c r="A231" i="39"/>
  <c r="C230" i="39"/>
  <c r="A230" i="39"/>
  <c r="C229" i="39"/>
  <c r="A229" i="39"/>
  <c r="C228" i="39"/>
  <c r="A228" i="39"/>
  <c r="C227" i="39"/>
  <c r="A227" i="39"/>
  <c r="C226" i="39"/>
  <c r="A226" i="39"/>
  <c r="C225" i="39"/>
  <c r="A225" i="39"/>
  <c r="C224" i="39"/>
  <c r="A224" i="39"/>
  <c r="C223" i="39"/>
  <c r="A223" i="39"/>
  <c r="C222" i="39"/>
  <c r="A222" i="39"/>
  <c r="C221" i="39"/>
  <c r="A221" i="39"/>
  <c r="C220" i="39"/>
  <c r="A220" i="39"/>
  <c r="C219" i="39"/>
  <c r="A219" i="39"/>
  <c r="C218" i="39"/>
  <c r="A218" i="39"/>
  <c r="C217" i="39"/>
  <c r="A217" i="39"/>
  <c r="C216" i="39"/>
  <c r="A216" i="39"/>
  <c r="C215" i="39"/>
  <c r="A215" i="39"/>
  <c r="C214" i="39"/>
  <c r="A214" i="39"/>
  <c r="C213" i="39"/>
  <c r="A213" i="39"/>
  <c r="C212" i="39"/>
  <c r="C211" i="39"/>
  <c r="A211" i="39"/>
  <c r="C210" i="39"/>
  <c r="A210" i="39"/>
  <c r="C209" i="39"/>
  <c r="A209" i="39"/>
  <c r="C208" i="39"/>
  <c r="A208" i="39"/>
  <c r="C207" i="39"/>
  <c r="A207" i="39"/>
  <c r="C206" i="39"/>
  <c r="A206" i="39"/>
  <c r="C205" i="39"/>
  <c r="A205" i="39"/>
  <c r="C204" i="39"/>
  <c r="A204" i="39"/>
  <c r="C203" i="39"/>
  <c r="A203" i="39"/>
  <c r="C202" i="39"/>
  <c r="A202" i="39"/>
  <c r="C201" i="39"/>
  <c r="A201" i="39"/>
  <c r="C200" i="39"/>
  <c r="A200" i="39"/>
  <c r="C199" i="39"/>
  <c r="A199" i="39"/>
  <c r="C198" i="39"/>
  <c r="A198" i="39"/>
  <c r="C197" i="39"/>
  <c r="A197" i="39"/>
  <c r="C196" i="39"/>
  <c r="A196" i="39"/>
  <c r="C195" i="39"/>
  <c r="A195" i="39"/>
  <c r="C194" i="39"/>
  <c r="A194" i="39"/>
  <c r="C193" i="39"/>
  <c r="A193" i="39"/>
  <c r="C192" i="39"/>
  <c r="A192" i="39"/>
  <c r="C191" i="39"/>
  <c r="A191" i="39"/>
  <c r="C190" i="39"/>
  <c r="A190" i="39"/>
  <c r="C189" i="39"/>
  <c r="A189" i="39"/>
  <c r="C188" i="39"/>
  <c r="A188" i="39"/>
  <c r="C187" i="39"/>
  <c r="A187" i="39"/>
  <c r="C186" i="39"/>
  <c r="A186" i="39"/>
  <c r="C185" i="39"/>
  <c r="A185" i="39"/>
  <c r="C184" i="39"/>
  <c r="A184" i="39"/>
  <c r="C183" i="39"/>
  <c r="A183" i="39"/>
  <c r="C182" i="39"/>
  <c r="A182" i="39"/>
  <c r="C181" i="39"/>
  <c r="A181" i="39"/>
  <c r="C180" i="39"/>
  <c r="A180" i="39"/>
  <c r="C179" i="39"/>
  <c r="A179" i="39"/>
  <c r="C178" i="39"/>
  <c r="A178" i="39"/>
  <c r="C177" i="39"/>
  <c r="A177" i="39"/>
  <c r="C176" i="39"/>
  <c r="A176" i="39"/>
  <c r="C175" i="39"/>
  <c r="A175" i="39"/>
  <c r="C174" i="39"/>
  <c r="A174" i="39"/>
  <c r="C173" i="39"/>
  <c r="A173" i="39"/>
  <c r="C172" i="39"/>
  <c r="A172" i="39"/>
  <c r="C171" i="39"/>
  <c r="A171" i="39"/>
  <c r="C170" i="39"/>
  <c r="A170" i="39"/>
  <c r="C169" i="39"/>
  <c r="A169" i="39"/>
  <c r="C168" i="39"/>
  <c r="A168" i="39"/>
  <c r="C167" i="39"/>
  <c r="A167" i="39"/>
  <c r="C166" i="39"/>
  <c r="A166" i="39"/>
  <c r="C165" i="39"/>
  <c r="A165" i="39"/>
  <c r="C164" i="39"/>
  <c r="C163" i="39"/>
  <c r="A163" i="39"/>
  <c r="C162" i="39"/>
  <c r="A162" i="39"/>
  <c r="C161" i="39"/>
  <c r="A161" i="39"/>
  <c r="C160" i="39"/>
  <c r="A160" i="39"/>
  <c r="C159" i="39"/>
  <c r="A159" i="39"/>
  <c r="C158" i="39"/>
  <c r="A158" i="39"/>
  <c r="C157" i="39"/>
  <c r="A157" i="39"/>
  <c r="C156" i="39"/>
  <c r="A156" i="39"/>
  <c r="C155" i="39"/>
  <c r="A155" i="39"/>
  <c r="C154" i="39"/>
  <c r="A154" i="39"/>
  <c r="A153" i="39"/>
  <c r="A152" i="39"/>
  <c r="A150" i="39"/>
  <c r="A149" i="39"/>
  <c r="A148" i="39"/>
  <c r="A147" i="39"/>
  <c r="A146" i="39"/>
  <c r="A145" i="39"/>
  <c r="A144" i="39"/>
  <c r="A143" i="39"/>
  <c r="A142" i="39"/>
  <c r="C141" i="39"/>
  <c r="A141" i="39"/>
  <c r="C140" i="39"/>
  <c r="A140" i="39"/>
  <c r="C139" i="39"/>
  <c r="A139" i="39"/>
  <c r="C138" i="39"/>
  <c r="A138" i="39"/>
  <c r="C137" i="39"/>
  <c r="A137" i="39"/>
  <c r="C136" i="39"/>
  <c r="A136" i="39"/>
  <c r="C135" i="39"/>
  <c r="A135" i="39"/>
  <c r="C134" i="39"/>
  <c r="A134" i="39"/>
  <c r="C133" i="39"/>
  <c r="A133" i="39"/>
  <c r="C132" i="39"/>
  <c r="A132" i="39"/>
  <c r="C131" i="39"/>
  <c r="A131" i="39"/>
  <c r="C130" i="39"/>
  <c r="A130" i="39"/>
  <c r="C129" i="39"/>
  <c r="A129" i="39"/>
  <c r="C128" i="39"/>
  <c r="A128" i="39"/>
  <c r="C127" i="39"/>
  <c r="A127" i="39"/>
  <c r="C126" i="39"/>
  <c r="A126" i="39"/>
  <c r="C125" i="39"/>
  <c r="A125" i="39"/>
  <c r="C124" i="39"/>
  <c r="A124" i="39"/>
  <c r="C123" i="39"/>
  <c r="A123" i="39"/>
  <c r="C122" i="39"/>
  <c r="A122" i="39"/>
  <c r="C121" i="39"/>
  <c r="A121" i="39"/>
  <c r="C120" i="39"/>
  <c r="A120" i="39"/>
  <c r="C119" i="39"/>
  <c r="C118" i="39"/>
  <c r="A118" i="39"/>
  <c r="C117" i="39"/>
  <c r="A117" i="39"/>
  <c r="C116" i="39"/>
  <c r="A116" i="39"/>
  <c r="C115" i="39"/>
  <c r="A115" i="39"/>
  <c r="C114" i="39"/>
  <c r="A114" i="39"/>
  <c r="C113" i="39"/>
  <c r="A113" i="39"/>
  <c r="C112" i="39"/>
  <c r="A112" i="39"/>
  <c r="C111" i="39"/>
  <c r="A111" i="39"/>
  <c r="C110" i="39"/>
  <c r="A110" i="39"/>
  <c r="C109" i="39"/>
  <c r="A109" i="39"/>
  <c r="C108" i="39"/>
  <c r="A108" i="39"/>
  <c r="C107" i="39"/>
  <c r="A107" i="39"/>
  <c r="C106" i="39"/>
  <c r="A106" i="39"/>
  <c r="C105" i="39"/>
  <c r="A105" i="39"/>
  <c r="C104" i="39"/>
  <c r="A104" i="39"/>
  <c r="C103" i="39"/>
  <c r="A103" i="39"/>
  <c r="C102" i="39"/>
  <c r="A102" i="39"/>
  <c r="C101" i="39"/>
  <c r="A101" i="39"/>
  <c r="C100" i="39"/>
  <c r="A100" i="39"/>
  <c r="C99" i="39"/>
  <c r="A99" i="39"/>
  <c r="C98" i="39"/>
  <c r="A98" i="39"/>
  <c r="C97" i="39"/>
  <c r="A97" i="39"/>
  <c r="C96" i="39"/>
  <c r="A96" i="39"/>
  <c r="C95" i="39"/>
  <c r="A95" i="39"/>
  <c r="C94" i="39"/>
  <c r="A94" i="39"/>
  <c r="C93" i="39"/>
  <c r="A93" i="39"/>
  <c r="C92" i="39"/>
  <c r="A92" i="39"/>
  <c r="C91" i="39"/>
  <c r="A91" i="39"/>
  <c r="C90" i="39"/>
  <c r="C89" i="39"/>
  <c r="A89" i="39"/>
  <c r="C88" i="39"/>
  <c r="A88" i="39"/>
  <c r="C87" i="39"/>
  <c r="A87" i="39"/>
  <c r="C86" i="39"/>
  <c r="A86" i="39"/>
  <c r="C85" i="39"/>
  <c r="A85" i="39"/>
  <c r="C84" i="39"/>
  <c r="A84" i="39"/>
  <c r="C83" i="39"/>
  <c r="A83" i="39"/>
  <c r="C82" i="39"/>
  <c r="A82" i="39"/>
  <c r="C81" i="39"/>
  <c r="A81" i="39"/>
  <c r="C80" i="39"/>
  <c r="A80" i="39"/>
  <c r="C79" i="39"/>
  <c r="A79" i="39"/>
  <c r="C78" i="39"/>
  <c r="A78" i="39"/>
  <c r="C77" i="39"/>
  <c r="A77" i="39"/>
  <c r="C76" i="39"/>
  <c r="A76" i="39"/>
  <c r="C75" i="39"/>
  <c r="A75" i="39"/>
  <c r="C74" i="39"/>
  <c r="A74" i="39"/>
  <c r="C73" i="39"/>
  <c r="A73" i="39"/>
  <c r="C72" i="39"/>
  <c r="A72" i="39"/>
  <c r="C71" i="39"/>
  <c r="A71" i="39"/>
  <c r="C70" i="39"/>
  <c r="A70" i="39"/>
  <c r="C69" i="39"/>
  <c r="A69" i="39"/>
  <c r="C68" i="39"/>
  <c r="A68" i="39"/>
  <c r="C67" i="39"/>
  <c r="A67" i="39"/>
  <c r="C66" i="39"/>
  <c r="A66" i="39"/>
  <c r="C65" i="39"/>
  <c r="A65" i="39"/>
  <c r="C64" i="39"/>
  <c r="A64" i="39"/>
  <c r="C63" i="39"/>
  <c r="A63" i="39"/>
  <c r="C62" i="39"/>
  <c r="A62" i="39"/>
  <c r="C61" i="39"/>
  <c r="A61" i="39"/>
  <c r="C60" i="39"/>
  <c r="A60" i="39"/>
  <c r="C59" i="39"/>
  <c r="A59" i="39"/>
  <c r="C58" i="39"/>
  <c r="C57" i="39"/>
  <c r="A57" i="39"/>
  <c r="C56" i="39"/>
  <c r="A56" i="39"/>
  <c r="C55" i="39"/>
  <c r="A55" i="39"/>
  <c r="C54" i="39"/>
  <c r="A54" i="39"/>
  <c r="C53" i="39"/>
  <c r="A53" i="39"/>
  <c r="C52" i="39"/>
  <c r="A52" i="39"/>
  <c r="C51" i="39"/>
  <c r="A51" i="39"/>
  <c r="C50" i="39"/>
  <c r="A50" i="39"/>
  <c r="C49" i="39"/>
  <c r="A49" i="39"/>
  <c r="C48" i="39"/>
  <c r="A48" i="39"/>
  <c r="C47" i="39"/>
  <c r="A47" i="39"/>
  <c r="C46" i="39"/>
  <c r="A46" i="39"/>
  <c r="C45" i="39"/>
  <c r="A45" i="39"/>
  <c r="C44" i="39"/>
  <c r="A44" i="39"/>
  <c r="C43" i="39"/>
  <c r="A43" i="39"/>
  <c r="C42" i="39"/>
  <c r="A42" i="39"/>
  <c r="C41" i="39"/>
  <c r="A41" i="39"/>
  <c r="C40" i="39"/>
  <c r="A40" i="39"/>
  <c r="C39" i="39"/>
  <c r="A39" i="39"/>
  <c r="C38" i="39"/>
  <c r="A38" i="39"/>
  <c r="C37" i="39"/>
  <c r="A37" i="39"/>
  <c r="C36" i="39"/>
  <c r="A36" i="39"/>
  <c r="C35" i="39"/>
  <c r="A35" i="39"/>
  <c r="C34" i="39"/>
  <c r="A34" i="39"/>
  <c r="C33" i="39"/>
  <c r="A33" i="39"/>
  <c r="C32" i="39"/>
  <c r="A32" i="39"/>
  <c r="C31" i="39"/>
  <c r="A31" i="39"/>
  <c r="C30" i="39"/>
  <c r="A30" i="39"/>
  <c r="C29" i="39"/>
  <c r="A29" i="39"/>
  <c r="C28" i="39"/>
  <c r="A28" i="39"/>
  <c r="C27" i="39"/>
  <c r="A27" i="39"/>
  <c r="C26" i="39"/>
  <c r="A26" i="39"/>
  <c r="C25" i="39"/>
  <c r="A25" i="39"/>
  <c r="C24" i="39"/>
  <c r="A24" i="39"/>
  <c r="C23" i="39"/>
  <c r="A23" i="39"/>
  <c r="C22" i="39"/>
  <c r="A22" i="39"/>
  <c r="C21" i="39"/>
  <c r="A21" i="39"/>
  <c r="C20" i="39"/>
  <c r="A20" i="39"/>
  <c r="C19" i="39"/>
  <c r="A19" i="39"/>
  <c r="O18" i="39"/>
  <c r="P18" i="39" s="1"/>
  <c r="C18" i="39"/>
  <c r="A18" i="39"/>
  <c r="O17" i="39"/>
  <c r="P17" i="39" s="1"/>
  <c r="C17" i="39"/>
  <c r="A17" i="39"/>
  <c r="O16" i="39"/>
  <c r="P16" i="39" s="1"/>
  <c r="C16" i="39"/>
  <c r="A16" i="39"/>
  <c r="O15" i="39"/>
  <c r="P15" i="39" s="1"/>
  <c r="C15" i="39"/>
  <c r="A15" i="39"/>
  <c r="O14" i="39"/>
  <c r="P14" i="39" s="1"/>
  <c r="C14" i="39"/>
  <c r="A14" i="39"/>
  <c r="O13" i="39"/>
  <c r="P13" i="39" s="1"/>
  <c r="C13" i="39"/>
  <c r="A13" i="39"/>
  <c r="O12" i="39"/>
  <c r="P12" i="39" s="1"/>
  <c r="C12" i="39"/>
  <c r="A12" i="39"/>
  <c r="O11" i="39"/>
  <c r="P11" i="39" s="1"/>
  <c r="C11" i="39"/>
  <c r="A11" i="39"/>
  <c r="O10" i="39"/>
  <c r="P10" i="39" s="1"/>
  <c r="C10" i="39"/>
  <c r="A10" i="39"/>
  <c r="O9" i="39"/>
  <c r="P9" i="39" s="1"/>
  <c r="C9" i="39"/>
  <c r="A9" i="39"/>
  <c r="O8" i="39"/>
  <c r="P8" i="39" s="1"/>
  <c r="C8" i="39"/>
  <c r="A8" i="39"/>
  <c r="O7" i="39"/>
  <c r="C7" i="39"/>
  <c r="A7" i="39"/>
  <c r="C6" i="39"/>
  <c r="A6" i="39"/>
  <c r="C5" i="39"/>
  <c r="A5" i="39"/>
  <c r="C4" i="39"/>
  <c r="A4" i="39"/>
  <c r="C3" i="39"/>
  <c r="N7" i="39" s="1"/>
  <c r="Q7" i="39" s="1"/>
  <c r="A3" i="39"/>
  <c r="C2" i="39"/>
  <c r="A2" i="39"/>
  <c r="N12" i="39" l="1"/>
  <c r="M152" i="39"/>
  <c r="M32" i="39"/>
  <c r="M91" i="39"/>
  <c r="N15" i="39"/>
  <c r="N11" i="39"/>
  <c r="M121" i="39"/>
  <c r="M60" i="39"/>
  <c r="N8" i="39"/>
  <c r="Q8" i="39" s="1"/>
  <c r="M274" i="39"/>
  <c r="N10" i="39"/>
  <c r="N18" i="39"/>
  <c r="M182" i="39"/>
  <c r="M244" i="39"/>
  <c r="N16" i="39"/>
  <c r="N17" i="39"/>
  <c r="M366" i="39"/>
  <c r="N14" i="39"/>
  <c r="M213" i="39"/>
  <c r="M335" i="39"/>
  <c r="N9" i="39"/>
  <c r="N13" i="39"/>
  <c r="M305" i="39"/>
  <c r="M367" i="39" l="1"/>
  <c r="Q9" i="39"/>
  <c r="Q10" i="39" s="1"/>
  <c r="Q11" i="39" s="1"/>
  <c r="Q12" i="39" s="1"/>
  <c r="Q13" i="39" s="1"/>
  <c r="Q14" i="39" s="1"/>
  <c r="Q15" i="39" s="1"/>
  <c r="Q16" i="39" s="1"/>
  <c r="Q17" i="39" s="1"/>
  <c r="Q18" i="39" s="1"/>
  <c r="E367" i="28" l="1"/>
  <c r="F367" i="28"/>
  <c r="G367" i="28"/>
  <c r="H367" i="28"/>
  <c r="J367" i="28"/>
  <c r="K367" i="28"/>
  <c r="D367" i="28"/>
  <c r="C366" i="28"/>
  <c r="C365" i="28"/>
  <c r="A365" i="28"/>
  <c r="C364" i="28"/>
  <c r="A364" i="28"/>
  <c r="C363" i="28"/>
  <c r="A363" i="28"/>
  <c r="C362" i="28"/>
  <c r="A362" i="28"/>
  <c r="C361" i="28"/>
  <c r="A361" i="28"/>
  <c r="C360" i="28"/>
  <c r="A360" i="28"/>
  <c r="C359" i="28"/>
  <c r="A359" i="28"/>
  <c r="C358" i="28"/>
  <c r="A358" i="28"/>
  <c r="C357" i="28"/>
  <c r="A357" i="28"/>
  <c r="C356" i="28"/>
  <c r="A356" i="28"/>
  <c r="C355" i="28"/>
  <c r="A355" i="28"/>
  <c r="C354" i="28"/>
  <c r="A354" i="28"/>
  <c r="C353" i="28"/>
  <c r="A353" i="28"/>
  <c r="C352" i="28"/>
  <c r="A352" i="28"/>
  <c r="C351" i="28"/>
  <c r="A351" i="28"/>
  <c r="C350" i="28"/>
  <c r="A350" i="28"/>
  <c r="C349" i="28"/>
  <c r="A349" i="28"/>
  <c r="C348" i="28"/>
  <c r="A348" i="28"/>
  <c r="C347" i="28"/>
  <c r="A347" i="28"/>
  <c r="C346" i="28"/>
  <c r="A346" i="28"/>
  <c r="C345" i="28"/>
  <c r="A345" i="28"/>
  <c r="C344" i="28"/>
  <c r="A344" i="28"/>
  <c r="C343" i="28"/>
  <c r="A343" i="28"/>
  <c r="C342" i="28"/>
  <c r="A342" i="28"/>
  <c r="C341" i="28"/>
  <c r="A341" i="28"/>
  <c r="C340" i="28"/>
  <c r="A340" i="28"/>
  <c r="C339" i="28"/>
  <c r="A339" i="28"/>
  <c r="C338" i="28"/>
  <c r="A338" i="28"/>
  <c r="C337" i="28"/>
  <c r="M18" i="28" s="1"/>
  <c r="A337" i="28"/>
  <c r="C336" i="28"/>
  <c r="A336" i="28"/>
  <c r="C335" i="28"/>
  <c r="A335" i="28"/>
  <c r="C334" i="28"/>
  <c r="A334" i="28"/>
  <c r="C333" i="28"/>
  <c r="C332" i="28"/>
  <c r="A332" i="28"/>
  <c r="C331" i="28"/>
  <c r="A331" i="28"/>
  <c r="C330" i="28"/>
  <c r="A330" i="28"/>
  <c r="C329" i="28"/>
  <c r="A329" i="28"/>
  <c r="C328" i="28"/>
  <c r="A328" i="28"/>
  <c r="C327" i="28"/>
  <c r="A327" i="28"/>
  <c r="C326" i="28"/>
  <c r="A326" i="28"/>
  <c r="C325" i="28"/>
  <c r="A325" i="28"/>
  <c r="C324" i="28"/>
  <c r="A324" i="28"/>
  <c r="C323" i="28"/>
  <c r="A323" i="28"/>
  <c r="C322" i="28"/>
  <c r="A322" i="28"/>
  <c r="C321" i="28"/>
  <c r="A321" i="28"/>
  <c r="C320" i="28"/>
  <c r="A320" i="28"/>
  <c r="C319" i="28"/>
  <c r="A319" i="28"/>
  <c r="C318" i="28"/>
  <c r="A318" i="28"/>
  <c r="C317" i="28"/>
  <c r="A317" i="28"/>
  <c r="C316" i="28"/>
  <c r="A316" i="28"/>
  <c r="C315" i="28"/>
  <c r="A315" i="28"/>
  <c r="C314" i="28"/>
  <c r="A314" i="28"/>
  <c r="C313" i="28"/>
  <c r="A313" i="28"/>
  <c r="C312" i="28"/>
  <c r="A312" i="28"/>
  <c r="C311" i="28"/>
  <c r="A311" i="28"/>
  <c r="C310" i="28"/>
  <c r="A310" i="28"/>
  <c r="C309" i="28"/>
  <c r="A309" i="28"/>
  <c r="C308" i="28"/>
  <c r="A308" i="28"/>
  <c r="C307" i="28"/>
  <c r="A307" i="28"/>
  <c r="C306" i="28"/>
  <c r="A306" i="28"/>
  <c r="C305" i="28"/>
  <c r="A305" i="28"/>
  <c r="C304" i="28"/>
  <c r="A304" i="28"/>
  <c r="C303" i="28"/>
  <c r="A303" i="28"/>
  <c r="C302" i="28"/>
  <c r="A302" i="28"/>
  <c r="C301" i="28"/>
  <c r="A301" i="28"/>
  <c r="C300" i="28"/>
  <c r="A300" i="28"/>
  <c r="C299" i="28"/>
  <c r="A299" i="28"/>
  <c r="C298" i="28"/>
  <c r="A298" i="28"/>
  <c r="C297" i="28"/>
  <c r="A297" i="28"/>
  <c r="C296" i="28"/>
  <c r="A296" i="28"/>
  <c r="C295" i="28"/>
  <c r="A295" i="28"/>
  <c r="C294" i="28"/>
  <c r="A294" i="28"/>
  <c r="C293" i="28"/>
  <c r="A293" i="28"/>
  <c r="C292" i="28"/>
  <c r="A292" i="28"/>
  <c r="C291" i="28"/>
  <c r="A291" i="28"/>
  <c r="C290" i="28"/>
  <c r="A290" i="28"/>
  <c r="C289" i="28"/>
  <c r="A289" i="28"/>
  <c r="C288" i="28"/>
  <c r="A288" i="28"/>
  <c r="C287" i="28"/>
  <c r="A287" i="28"/>
  <c r="C286" i="28"/>
  <c r="A286" i="28"/>
  <c r="C285" i="28"/>
  <c r="A285" i="28"/>
  <c r="C284" i="28"/>
  <c r="A284" i="28"/>
  <c r="C283" i="28"/>
  <c r="A283" i="28"/>
  <c r="C282" i="28"/>
  <c r="A282" i="28"/>
  <c r="C281" i="28"/>
  <c r="A281" i="28"/>
  <c r="C280" i="28"/>
  <c r="A280" i="28"/>
  <c r="C279" i="28"/>
  <c r="A279" i="28"/>
  <c r="C278" i="28"/>
  <c r="A278" i="28"/>
  <c r="C277" i="28"/>
  <c r="A277" i="28"/>
  <c r="C276" i="28"/>
  <c r="A276" i="28"/>
  <c r="C275" i="28"/>
  <c r="A275" i="28"/>
  <c r="C274" i="28"/>
  <c r="A274" i="28"/>
  <c r="C273" i="28"/>
  <c r="C272" i="28"/>
  <c r="A272" i="28"/>
  <c r="C271" i="28"/>
  <c r="A271" i="28"/>
  <c r="C270" i="28"/>
  <c r="A270" i="28"/>
  <c r="C269" i="28"/>
  <c r="A269" i="28"/>
  <c r="C268" i="28"/>
  <c r="A268" i="28"/>
  <c r="C267" i="28"/>
  <c r="A267" i="28"/>
  <c r="C266" i="28"/>
  <c r="A266" i="28"/>
  <c r="C265" i="28"/>
  <c r="A265" i="28"/>
  <c r="C264" i="28"/>
  <c r="A264" i="28"/>
  <c r="C263" i="28"/>
  <c r="A263" i="28"/>
  <c r="C262" i="28"/>
  <c r="A262" i="28"/>
  <c r="C261" i="28"/>
  <c r="A261" i="28"/>
  <c r="C260" i="28"/>
  <c r="A260" i="28"/>
  <c r="C259" i="28"/>
  <c r="A259" i="28"/>
  <c r="C258" i="28"/>
  <c r="A258" i="28"/>
  <c r="C257" i="28"/>
  <c r="A257" i="28"/>
  <c r="C256" i="28"/>
  <c r="A256" i="28"/>
  <c r="C255" i="28"/>
  <c r="A255" i="28"/>
  <c r="C254" i="28"/>
  <c r="A254" i="28"/>
  <c r="C253" i="28"/>
  <c r="A253" i="28"/>
  <c r="C252" i="28"/>
  <c r="A252" i="28"/>
  <c r="C251" i="28"/>
  <c r="A251" i="28"/>
  <c r="C250" i="28"/>
  <c r="A250" i="28"/>
  <c r="C249" i="28"/>
  <c r="A249" i="28"/>
  <c r="C248" i="28"/>
  <c r="A248" i="28"/>
  <c r="C247" i="28"/>
  <c r="A247" i="28"/>
  <c r="C246" i="28"/>
  <c r="A246" i="28"/>
  <c r="C245" i="28"/>
  <c r="A245" i="28"/>
  <c r="C244" i="28"/>
  <c r="A244" i="28"/>
  <c r="C243" i="28"/>
  <c r="C242" i="28"/>
  <c r="A242" i="28"/>
  <c r="C241" i="28"/>
  <c r="A241" i="28"/>
  <c r="C240" i="28"/>
  <c r="A240" i="28"/>
  <c r="C239" i="28"/>
  <c r="A239" i="28"/>
  <c r="C238" i="28"/>
  <c r="A238" i="28"/>
  <c r="C237" i="28"/>
  <c r="A237" i="28"/>
  <c r="C236" i="28"/>
  <c r="A236" i="28"/>
  <c r="C235" i="28"/>
  <c r="A235" i="28"/>
  <c r="C234" i="28"/>
  <c r="A234" i="28"/>
  <c r="C233" i="28"/>
  <c r="A233" i="28"/>
  <c r="C232" i="28"/>
  <c r="A232" i="28"/>
  <c r="C231" i="28"/>
  <c r="A231" i="28"/>
  <c r="C230" i="28"/>
  <c r="A230" i="28"/>
  <c r="C229" i="28"/>
  <c r="A229" i="28"/>
  <c r="C228" i="28"/>
  <c r="A228" i="28"/>
  <c r="C227" i="28"/>
  <c r="A227" i="28"/>
  <c r="C226" i="28"/>
  <c r="A226" i="28"/>
  <c r="C225" i="28"/>
  <c r="A225" i="28"/>
  <c r="C224" i="28"/>
  <c r="A224" i="28"/>
  <c r="C223" i="28"/>
  <c r="A223" i="28"/>
  <c r="C222" i="28"/>
  <c r="A222" i="28"/>
  <c r="C221" i="28"/>
  <c r="A221" i="28"/>
  <c r="C220" i="28"/>
  <c r="A220" i="28"/>
  <c r="C219" i="28"/>
  <c r="A219" i="28"/>
  <c r="C218" i="28"/>
  <c r="A218" i="28"/>
  <c r="C217" i="28"/>
  <c r="A217" i="28"/>
  <c r="C216" i="28"/>
  <c r="A216" i="28"/>
  <c r="C215" i="28"/>
  <c r="A215" i="28"/>
  <c r="C214" i="28"/>
  <c r="A214" i="28"/>
  <c r="C213" i="28"/>
  <c r="A213" i="28"/>
  <c r="C212" i="28"/>
  <c r="C211" i="28"/>
  <c r="A211" i="28"/>
  <c r="C210" i="28"/>
  <c r="A210" i="28"/>
  <c r="C209" i="28"/>
  <c r="A209" i="28"/>
  <c r="C208" i="28"/>
  <c r="A208" i="28"/>
  <c r="C207" i="28"/>
  <c r="A207" i="28"/>
  <c r="C206" i="28"/>
  <c r="A206" i="28"/>
  <c r="C205" i="28"/>
  <c r="A205" i="28"/>
  <c r="C204" i="28"/>
  <c r="A204" i="28"/>
  <c r="C203" i="28"/>
  <c r="A203" i="28"/>
  <c r="C202" i="28"/>
  <c r="A202" i="28"/>
  <c r="C201" i="28"/>
  <c r="A201" i="28"/>
  <c r="C200" i="28"/>
  <c r="A200" i="28"/>
  <c r="C199" i="28"/>
  <c r="A199" i="28"/>
  <c r="C198" i="28"/>
  <c r="A198" i="28"/>
  <c r="C197" i="28"/>
  <c r="A197" i="28"/>
  <c r="C196" i="28"/>
  <c r="A196" i="28"/>
  <c r="C195" i="28"/>
  <c r="A195" i="28"/>
  <c r="C194" i="28"/>
  <c r="A194" i="28"/>
  <c r="C193" i="28"/>
  <c r="A193" i="28"/>
  <c r="C192" i="28"/>
  <c r="A192" i="28"/>
  <c r="C191" i="28"/>
  <c r="A191" i="28"/>
  <c r="C190" i="28"/>
  <c r="A190" i="28"/>
  <c r="C189" i="28"/>
  <c r="A189" i="28"/>
  <c r="C188" i="28"/>
  <c r="A188" i="28"/>
  <c r="C187" i="28"/>
  <c r="A187" i="28"/>
  <c r="C186" i="28"/>
  <c r="A186" i="28"/>
  <c r="C185" i="28"/>
  <c r="A185" i="28"/>
  <c r="C184" i="28"/>
  <c r="A184" i="28"/>
  <c r="C183" i="28"/>
  <c r="A183" i="28"/>
  <c r="C182" i="28"/>
  <c r="A182" i="28"/>
  <c r="C181" i="28"/>
  <c r="A181" i="28"/>
  <c r="C180" i="28"/>
  <c r="A180" i="28"/>
  <c r="C179" i="28"/>
  <c r="A179" i="28"/>
  <c r="C178" i="28"/>
  <c r="A178" i="28"/>
  <c r="C177" i="28"/>
  <c r="A177" i="28"/>
  <c r="C176" i="28"/>
  <c r="A176" i="28"/>
  <c r="C175" i="28"/>
  <c r="A175" i="28"/>
  <c r="C174" i="28"/>
  <c r="A174" i="28"/>
  <c r="C173" i="28"/>
  <c r="A173" i="28"/>
  <c r="C172" i="28"/>
  <c r="A172" i="28"/>
  <c r="C171" i="28"/>
  <c r="A171" i="28"/>
  <c r="C170" i="28"/>
  <c r="A170" i="28"/>
  <c r="C169" i="28"/>
  <c r="A169" i="28"/>
  <c r="C168" i="28"/>
  <c r="A168" i="28"/>
  <c r="C167" i="28"/>
  <c r="A167" i="28"/>
  <c r="C166" i="28"/>
  <c r="A166" i="28"/>
  <c r="C165" i="28"/>
  <c r="A165" i="28"/>
  <c r="C164" i="28"/>
  <c r="C163" i="28"/>
  <c r="A163" i="28"/>
  <c r="C162" i="28"/>
  <c r="A162" i="28"/>
  <c r="C161" i="28"/>
  <c r="A161" i="28"/>
  <c r="C160" i="28"/>
  <c r="A160" i="28"/>
  <c r="C159" i="28"/>
  <c r="A159" i="28"/>
  <c r="C158" i="28"/>
  <c r="A158" i="28"/>
  <c r="C157" i="28"/>
  <c r="A157" i="28"/>
  <c r="C156" i="28"/>
  <c r="A156" i="28"/>
  <c r="C155" i="28"/>
  <c r="A155" i="28"/>
  <c r="C154" i="28"/>
  <c r="A154" i="28"/>
  <c r="C153" i="28"/>
  <c r="A153" i="28"/>
  <c r="C152" i="28"/>
  <c r="A152" i="28"/>
  <c r="C151" i="28"/>
  <c r="C150" i="28"/>
  <c r="A150" i="28"/>
  <c r="C149" i="28"/>
  <c r="A149" i="28"/>
  <c r="C148" i="28"/>
  <c r="A148" i="28"/>
  <c r="C147" i="28"/>
  <c r="A147" i="28"/>
  <c r="C146" i="28"/>
  <c r="A146" i="28"/>
  <c r="C145" i="28"/>
  <c r="A145" i="28"/>
  <c r="C144" i="28"/>
  <c r="A144" i="28"/>
  <c r="C143" i="28"/>
  <c r="A143" i="28"/>
  <c r="C142" i="28"/>
  <c r="A142" i="28"/>
  <c r="C141" i="28"/>
  <c r="A141" i="28"/>
  <c r="C140" i="28"/>
  <c r="A140" i="28"/>
  <c r="C139" i="28"/>
  <c r="A139" i="28"/>
  <c r="C138" i="28"/>
  <c r="A138" i="28"/>
  <c r="C137" i="28"/>
  <c r="A137" i="28"/>
  <c r="C136" i="28"/>
  <c r="A136" i="28"/>
  <c r="C135" i="28"/>
  <c r="A135" i="28"/>
  <c r="C134" i="28"/>
  <c r="A134" i="28"/>
  <c r="C133" i="28"/>
  <c r="A133" i="28"/>
  <c r="C132" i="28"/>
  <c r="A132" i="28"/>
  <c r="C131" i="28"/>
  <c r="A131" i="28"/>
  <c r="C130" i="28"/>
  <c r="A130" i="28"/>
  <c r="C129" i="28"/>
  <c r="A129" i="28"/>
  <c r="C128" i="28"/>
  <c r="A128" i="28"/>
  <c r="C127" i="28"/>
  <c r="A127" i="28"/>
  <c r="C126" i="28"/>
  <c r="A126" i="28"/>
  <c r="C125" i="28"/>
  <c r="A125" i="28"/>
  <c r="C124" i="28"/>
  <c r="A124" i="28"/>
  <c r="C123" i="28"/>
  <c r="A123" i="28"/>
  <c r="C122" i="28"/>
  <c r="A122" i="28"/>
  <c r="C121" i="28"/>
  <c r="A121" i="28"/>
  <c r="C120" i="28"/>
  <c r="A120" i="28"/>
  <c r="C119" i="28"/>
  <c r="C118" i="28"/>
  <c r="A118" i="28"/>
  <c r="C117" i="28"/>
  <c r="A117" i="28"/>
  <c r="C116" i="28"/>
  <c r="A116" i="28"/>
  <c r="C115" i="28"/>
  <c r="A115" i="28"/>
  <c r="C114" i="28"/>
  <c r="A114" i="28"/>
  <c r="C113" i="28"/>
  <c r="A113" i="28"/>
  <c r="C112" i="28"/>
  <c r="A112" i="28"/>
  <c r="C111" i="28"/>
  <c r="A111" i="28"/>
  <c r="C110" i="28"/>
  <c r="A110" i="28"/>
  <c r="C109" i="28"/>
  <c r="A109" i="28"/>
  <c r="C108" i="28"/>
  <c r="A108" i="28"/>
  <c r="C107" i="28"/>
  <c r="A107" i="28"/>
  <c r="C106" i="28"/>
  <c r="A106" i="28"/>
  <c r="C105" i="28"/>
  <c r="A105" i="28"/>
  <c r="C104" i="28"/>
  <c r="A104" i="28"/>
  <c r="C103" i="28"/>
  <c r="A103" i="28"/>
  <c r="C102" i="28"/>
  <c r="A102" i="28"/>
  <c r="C101" i="28"/>
  <c r="A101" i="28"/>
  <c r="C100" i="28"/>
  <c r="A100" i="28"/>
  <c r="C99" i="28"/>
  <c r="A99" i="28"/>
  <c r="C98" i="28"/>
  <c r="A98" i="28"/>
  <c r="C97" i="28"/>
  <c r="A97" i="28"/>
  <c r="C96" i="28"/>
  <c r="A96" i="28"/>
  <c r="C95" i="28"/>
  <c r="A95" i="28"/>
  <c r="C94" i="28"/>
  <c r="A94" i="28"/>
  <c r="C93" i="28"/>
  <c r="A93" i="28"/>
  <c r="C92" i="28"/>
  <c r="A92" i="28"/>
  <c r="C91" i="28"/>
  <c r="A91" i="28"/>
  <c r="C90" i="28"/>
  <c r="C89" i="28"/>
  <c r="A89" i="28"/>
  <c r="C88" i="28"/>
  <c r="A88" i="28"/>
  <c r="C87" i="28"/>
  <c r="A87" i="28"/>
  <c r="C86" i="28"/>
  <c r="A86" i="28"/>
  <c r="C85" i="28"/>
  <c r="A85" i="28"/>
  <c r="C84" i="28"/>
  <c r="A84" i="28"/>
  <c r="C83" i="28"/>
  <c r="A83" i="28"/>
  <c r="C82" i="28"/>
  <c r="A82" i="28"/>
  <c r="C81" i="28"/>
  <c r="A81" i="28"/>
  <c r="C80" i="28"/>
  <c r="A80" i="28"/>
  <c r="C79" i="28"/>
  <c r="A79" i="28"/>
  <c r="C78" i="28"/>
  <c r="A78" i="28"/>
  <c r="C77" i="28"/>
  <c r="A77" i="28"/>
  <c r="C76" i="28"/>
  <c r="A76" i="28"/>
  <c r="C75" i="28"/>
  <c r="A75" i="28"/>
  <c r="C74" i="28"/>
  <c r="A74" i="28"/>
  <c r="C73" i="28"/>
  <c r="A73" i="28"/>
  <c r="C72" i="28"/>
  <c r="A72" i="28"/>
  <c r="C71" i="28"/>
  <c r="A71" i="28"/>
  <c r="C70" i="28"/>
  <c r="A70" i="28"/>
  <c r="C69" i="28"/>
  <c r="A69" i="28"/>
  <c r="C68" i="28"/>
  <c r="A68" i="28"/>
  <c r="C67" i="28"/>
  <c r="A67" i="28"/>
  <c r="C66" i="28"/>
  <c r="A66" i="28"/>
  <c r="C65" i="28"/>
  <c r="A65" i="28"/>
  <c r="C64" i="28"/>
  <c r="A64" i="28"/>
  <c r="C63" i="28"/>
  <c r="A63" i="28"/>
  <c r="C62" i="28"/>
  <c r="A62" i="28"/>
  <c r="C61" i="28"/>
  <c r="A61" i="28"/>
  <c r="C60" i="28"/>
  <c r="A60" i="28"/>
  <c r="C59" i="28"/>
  <c r="A59" i="28"/>
  <c r="C58" i="28"/>
  <c r="C57" i="28"/>
  <c r="A57" i="28"/>
  <c r="C56" i="28"/>
  <c r="A56" i="28"/>
  <c r="C55" i="28"/>
  <c r="A55" i="28"/>
  <c r="C54" i="28"/>
  <c r="A54" i="28"/>
  <c r="C53" i="28"/>
  <c r="A53" i="28"/>
  <c r="C52" i="28"/>
  <c r="A52" i="28"/>
  <c r="C51" i="28"/>
  <c r="A51" i="28"/>
  <c r="C50" i="28"/>
  <c r="A50" i="28"/>
  <c r="C49" i="28"/>
  <c r="A49" i="28"/>
  <c r="C48" i="28"/>
  <c r="A48" i="28"/>
  <c r="C47" i="28"/>
  <c r="A47" i="28"/>
  <c r="C46" i="28"/>
  <c r="A46" i="28"/>
  <c r="C45" i="28"/>
  <c r="A45" i="28"/>
  <c r="C44" i="28"/>
  <c r="A44" i="28"/>
  <c r="C43" i="28"/>
  <c r="A43" i="28"/>
  <c r="C42" i="28"/>
  <c r="A42" i="28"/>
  <c r="C41" i="28"/>
  <c r="A41" i="28"/>
  <c r="C40" i="28"/>
  <c r="A40" i="28"/>
  <c r="C39" i="28"/>
  <c r="A39" i="28"/>
  <c r="C38" i="28"/>
  <c r="A38" i="28"/>
  <c r="C37" i="28"/>
  <c r="A37" i="28"/>
  <c r="C36" i="28"/>
  <c r="A36" i="28"/>
  <c r="C35" i="28"/>
  <c r="A35" i="28"/>
  <c r="C34" i="28"/>
  <c r="A34" i="28"/>
  <c r="C33" i="28"/>
  <c r="A33" i="28"/>
  <c r="C32" i="28"/>
  <c r="A32" i="28"/>
  <c r="C31" i="28"/>
  <c r="A31" i="28"/>
  <c r="C30" i="28"/>
  <c r="A30" i="28"/>
  <c r="C29" i="28"/>
  <c r="A29" i="28"/>
  <c r="C28" i="28"/>
  <c r="A28" i="28"/>
  <c r="C27" i="28"/>
  <c r="A27" i="28"/>
  <c r="C26" i="28"/>
  <c r="A26" i="28"/>
  <c r="C25" i="28"/>
  <c r="A25" i="28"/>
  <c r="C24" i="28"/>
  <c r="A24" i="28"/>
  <c r="C23" i="28"/>
  <c r="A23" i="28"/>
  <c r="C22" i="28"/>
  <c r="A22" i="28"/>
  <c r="C21" i="28"/>
  <c r="A21" i="28"/>
  <c r="C20" i="28"/>
  <c r="A20" i="28"/>
  <c r="C19" i="28"/>
  <c r="A19" i="28"/>
  <c r="N18" i="28"/>
  <c r="O18" i="28" s="1"/>
  <c r="C18" i="28"/>
  <c r="A18" i="28"/>
  <c r="N17" i="28"/>
  <c r="O17" i="28" s="1"/>
  <c r="C17" i="28"/>
  <c r="A17" i="28"/>
  <c r="N16" i="28"/>
  <c r="O16" i="28" s="1"/>
  <c r="C16" i="28"/>
  <c r="A16" i="28"/>
  <c r="N15" i="28"/>
  <c r="O15" i="28" s="1"/>
  <c r="C15" i="28"/>
  <c r="A15" i="28"/>
  <c r="N14" i="28"/>
  <c r="O14" i="28" s="1"/>
  <c r="C14" i="28"/>
  <c r="A14" i="28"/>
  <c r="N13" i="28"/>
  <c r="O13" i="28" s="1"/>
  <c r="C13" i="28"/>
  <c r="A13" i="28"/>
  <c r="N12" i="28"/>
  <c r="O12" i="28" s="1"/>
  <c r="C12" i="28"/>
  <c r="A12" i="28"/>
  <c r="N11" i="28"/>
  <c r="O11" i="28" s="1"/>
  <c r="C11" i="28"/>
  <c r="A11" i="28"/>
  <c r="N10" i="28"/>
  <c r="O10" i="28" s="1"/>
  <c r="C10" i="28"/>
  <c r="A10" i="28"/>
  <c r="N9" i="28"/>
  <c r="O9" i="28" s="1"/>
  <c r="C9" i="28"/>
  <c r="A9" i="28"/>
  <c r="N8" i="28"/>
  <c r="O8" i="28" s="1"/>
  <c r="C8" i="28"/>
  <c r="A8" i="28"/>
  <c r="N7" i="28"/>
  <c r="C7" i="28"/>
  <c r="A7" i="28"/>
  <c r="C6" i="28"/>
  <c r="A6" i="28"/>
  <c r="C5" i="28"/>
  <c r="A5" i="28"/>
  <c r="C4" i="28"/>
  <c r="A4" i="28"/>
  <c r="C3" i="28"/>
  <c r="A3" i="28"/>
  <c r="C2" i="28"/>
  <c r="A2" i="28"/>
  <c r="M10" i="28" l="1"/>
  <c r="M14" i="28"/>
  <c r="M17" i="28"/>
  <c r="M7" i="28"/>
  <c r="P7" i="28" s="1"/>
  <c r="L213" i="28"/>
  <c r="L182" i="28"/>
  <c r="M9" i="28"/>
  <c r="L121" i="28"/>
  <c r="L305" i="28"/>
  <c r="L60" i="28"/>
  <c r="M16" i="28"/>
  <c r="M15" i="28"/>
  <c r="L244" i="28"/>
  <c r="M13" i="28"/>
  <c r="L274" i="28"/>
  <c r="L366" i="28"/>
  <c r="M12" i="28"/>
  <c r="L335" i="28"/>
  <c r="L91" i="28"/>
  <c r="L152" i="28"/>
  <c r="L32" i="28"/>
  <c r="M8" i="28"/>
  <c r="P8" i="28" s="1"/>
  <c r="M11" i="28"/>
  <c r="P9" i="28" l="1"/>
  <c r="P10" i="28" s="1"/>
  <c r="P11" i="28"/>
  <c r="P12" i="28" s="1"/>
  <c r="P13" i="28" s="1"/>
  <c r="P14" i="28" s="1"/>
  <c r="P15" i="28" s="1"/>
  <c r="P16" i="28" s="1"/>
  <c r="P17" i="28" s="1"/>
  <c r="P18" i="28" s="1"/>
  <c r="L367" i="28"/>
  <c r="C2" i="20" l="1"/>
  <c r="C366" i="20"/>
  <c r="C365" i="20"/>
  <c r="C364" i="20"/>
  <c r="C363" i="20"/>
  <c r="C362" i="20"/>
  <c r="C361" i="20"/>
  <c r="C360" i="20"/>
  <c r="C359" i="20"/>
  <c r="C358" i="20"/>
  <c r="C357" i="20"/>
  <c r="C356" i="20"/>
  <c r="C355" i="20"/>
  <c r="C354" i="20"/>
  <c r="C353" i="20"/>
  <c r="C352" i="20"/>
  <c r="C351" i="20"/>
  <c r="C350" i="20"/>
  <c r="C349" i="20"/>
  <c r="C348" i="20"/>
  <c r="C347" i="20"/>
  <c r="C346" i="20"/>
  <c r="C345" i="20"/>
  <c r="C344" i="20"/>
  <c r="C343" i="20"/>
  <c r="C342" i="20"/>
  <c r="C341" i="20"/>
  <c r="C340" i="20"/>
  <c r="C339" i="20"/>
  <c r="C338" i="20"/>
  <c r="C337" i="20"/>
  <c r="C336" i="20"/>
  <c r="C335" i="20"/>
  <c r="C334" i="20"/>
  <c r="C333" i="20"/>
  <c r="C332" i="20"/>
  <c r="C331" i="20"/>
  <c r="C330" i="20"/>
  <c r="C329" i="20"/>
  <c r="C328" i="20"/>
  <c r="C327" i="20"/>
  <c r="C326" i="20"/>
  <c r="C325" i="20"/>
  <c r="C324" i="20"/>
  <c r="C323" i="20"/>
  <c r="C322" i="20"/>
  <c r="C321" i="20"/>
  <c r="C320" i="20"/>
  <c r="C319" i="20"/>
  <c r="C318" i="20"/>
  <c r="C317" i="20"/>
  <c r="C316" i="20"/>
  <c r="C315" i="20"/>
  <c r="C314" i="20"/>
  <c r="C313" i="20"/>
  <c r="C312" i="20"/>
  <c r="C311" i="20"/>
  <c r="C310" i="20"/>
  <c r="C309" i="20"/>
  <c r="C308" i="20"/>
  <c r="C307" i="20"/>
  <c r="C306" i="20"/>
  <c r="C305" i="20"/>
  <c r="C304" i="20"/>
  <c r="C303" i="20"/>
  <c r="C302" i="20"/>
  <c r="C301" i="20"/>
  <c r="C300" i="20"/>
  <c r="C299" i="20"/>
  <c r="C298" i="20"/>
  <c r="C297" i="20"/>
  <c r="C296" i="20"/>
  <c r="C295" i="20"/>
  <c r="C294" i="20"/>
  <c r="C293" i="20"/>
  <c r="C292" i="20"/>
  <c r="C291" i="20"/>
  <c r="C290" i="20"/>
  <c r="C289" i="20"/>
  <c r="C288" i="20"/>
  <c r="C287" i="20"/>
  <c r="C286" i="20"/>
  <c r="C285" i="20"/>
  <c r="C284" i="20"/>
  <c r="C283" i="20"/>
  <c r="C282" i="20"/>
  <c r="C281" i="20"/>
  <c r="C280" i="20"/>
  <c r="C279" i="20"/>
  <c r="C278" i="20"/>
  <c r="C277" i="20"/>
  <c r="C276" i="20"/>
  <c r="C275" i="20"/>
  <c r="C274" i="20"/>
  <c r="C273" i="20"/>
  <c r="C272" i="20"/>
  <c r="C271" i="20"/>
  <c r="C270" i="20"/>
  <c r="C269" i="20"/>
  <c r="C268" i="20"/>
  <c r="C267" i="20"/>
  <c r="C266" i="20"/>
  <c r="C265" i="20"/>
  <c r="C264" i="20"/>
  <c r="C263" i="20"/>
  <c r="C262" i="20"/>
  <c r="C261" i="20"/>
  <c r="C260" i="20"/>
  <c r="C259" i="20"/>
  <c r="C258" i="20"/>
  <c r="C257" i="20"/>
  <c r="C256" i="20"/>
  <c r="C255" i="20"/>
  <c r="C254" i="20"/>
  <c r="C253" i="20"/>
  <c r="C252" i="20"/>
  <c r="C251" i="20"/>
  <c r="C250" i="20"/>
  <c r="C249" i="20"/>
  <c r="C248" i="20"/>
  <c r="C247" i="20"/>
  <c r="C246" i="20"/>
  <c r="C245" i="20"/>
  <c r="C244" i="20"/>
  <c r="C243" i="20"/>
  <c r="C242" i="20"/>
  <c r="C241" i="20"/>
  <c r="C240" i="20"/>
  <c r="C239" i="20"/>
  <c r="C238" i="20"/>
  <c r="C237" i="20"/>
  <c r="C236" i="20"/>
  <c r="C235" i="20"/>
  <c r="C234" i="20"/>
  <c r="C233" i="20"/>
  <c r="C232" i="20"/>
  <c r="C231" i="20"/>
  <c r="C230" i="20"/>
  <c r="C229" i="20"/>
  <c r="C228" i="20"/>
  <c r="C227" i="20"/>
  <c r="C226" i="20"/>
  <c r="C225" i="20"/>
  <c r="C224" i="20"/>
  <c r="C223" i="20"/>
  <c r="C222" i="20"/>
  <c r="C221" i="20"/>
  <c r="C220" i="20"/>
  <c r="C219" i="20"/>
  <c r="C218" i="20"/>
  <c r="C217" i="20"/>
  <c r="C216" i="20"/>
  <c r="C215" i="20"/>
  <c r="C214" i="20"/>
  <c r="C213" i="20"/>
  <c r="C212" i="20"/>
  <c r="C211" i="20"/>
  <c r="C210" i="20"/>
  <c r="C209" i="20"/>
  <c r="C208" i="20"/>
  <c r="C207" i="20"/>
  <c r="C206" i="20"/>
  <c r="C205" i="20"/>
  <c r="C204" i="20"/>
  <c r="C203" i="20"/>
  <c r="C202" i="20"/>
  <c r="C201" i="20"/>
  <c r="C200" i="20"/>
  <c r="C199" i="20"/>
  <c r="C198" i="20"/>
  <c r="C197" i="20"/>
  <c r="C196" i="20"/>
  <c r="C195" i="20"/>
  <c r="C194" i="20"/>
  <c r="C193" i="20"/>
  <c r="C192" i="20"/>
  <c r="C191" i="20"/>
  <c r="C190" i="20"/>
  <c r="C189" i="20"/>
  <c r="C188" i="20"/>
  <c r="C187" i="20"/>
  <c r="C186" i="20"/>
  <c r="C185" i="20"/>
  <c r="C184" i="20"/>
  <c r="C183" i="20"/>
  <c r="C182" i="20"/>
  <c r="C181" i="20"/>
  <c r="C180" i="20"/>
  <c r="C179" i="20"/>
  <c r="C178" i="20"/>
  <c r="C177" i="20"/>
  <c r="C176" i="20"/>
  <c r="C175" i="20"/>
  <c r="C174" i="20"/>
  <c r="C173" i="20"/>
  <c r="C172" i="20"/>
  <c r="C171" i="20"/>
  <c r="C170" i="20"/>
  <c r="C169" i="20"/>
  <c r="C168" i="20"/>
  <c r="C167" i="20"/>
  <c r="C166" i="20"/>
  <c r="C165" i="20"/>
  <c r="C164" i="20"/>
  <c r="C163" i="20"/>
  <c r="C162" i="20"/>
  <c r="C161" i="20"/>
  <c r="C160" i="20"/>
  <c r="C159" i="20"/>
  <c r="C158" i="20"/>
  <c r="C157" i="20"/>
  <c r="C156" i="20"/>
  <c r="C155" i="20"/>
  <c r="C154" i="20"/>
  <c r="C153" i="20"/>
  <c r="C152" i="20"/>
  <c r="C151" i="20"/>
  <c r="C150" i="20"/>
  <c r="C149" i="20"/>
  <c r="C148" i="20"/>
  <c r="C147" i="20"/>
  <c r="C146" i="20"/>
  <c r="C145" i="20"/>
  <c r="C144" i="20"/>
  <c r="C143" i="20"/>
  <c r="C142" i="20"/>
  <c r="C141" i="20"/>
  <c r="C140" i="20"/>
  <c r="C139" i="20"/>
  <c r="C138" i="20"/>
  <c r="C137" i="20"/>
  <c r="C136" i="20"/>
  <c r="C135" i="20"/>
  <c r="C134" i="20"/>
  <c r="C133" i="20"/>
  <c r="C132" i="20"/>
  <c r="C131" i="20"/>
  <c r="C130" i="20"/>
  <c r="C129" i="20"/>
  <c r="C128" i="20"/>
  <c r="C127" i="20"/>
  <c r="C126" i="20"/>
  <c r="C125" i="20"/>
  <c r="C124" i="20"/>
  <c r="C123" i="20"/>
  <c r="C122" i="20"/>
  <c r="C121" i="20"/>
  <c r="C120" i="20"/>
  <c r="C119" i="20"/>
  <c r="C118" i="20"/>
  <c r="C117" i="20"/>
  <c r="C116" i="20"/>
  <c r="C115" i="20"/>
  <c r="C114" i="20"/>
  <c r="C113" i="20"/>
  <c r="C112" i="20"/>
  <c r="C111" i="20"/>
  <c r="C110" i="20"/>
  <c r="C109" i="20"/>
  <c r="C108" i="20"/>
  <c r="C107" i="20"/>
  <c r="C106" i="20"/>
  <c r="C105" i="20"/>
  <c r="C104" i="20"/>
  <c r="C103" i="20"/>
  <c r="C102" i="20"/>
  <c r="C101" i="20"/>
  <c r="C100" i="20"/>
  <c r="C99" i="20"/>
  <c r="C98" i="20"/>
  <c r="C97" i="20"/>
  <c r="C96" i="20"/>
  <c r="C95" i="20"/>
  <c r="C94" i="20"/>
  <c r="C93" i="20"/>
  <c r="C92" i="20"/>
  <c r="C91" i="20"/>
  <c r="C90" i="20"/>
  <c r="C89" i="20"/>
  <c r="C88" i="20"/>
  <c r="C87" i="20"/>
  <c r="C86" i="20"/>
  <c r="C85" i="20"/>
  <c r="C84" i="20"/>
  <c r="C83" i="20"/>
  <c r="C82" i="20"/>
  <c r="C81" i="20"/>
  <c r="C80" i="20"/>
  <c r="C79" i="20"/>
  <c r="C78" i="20"/>
  <c r="C77" i="20"/>
  <c r="C76" i="20"/>
  <c r="C75" i="20"/>
  <c r="C74" i="20"/>
  <c r="C73" i="20"/>
  <c r="C72" i="20"/>
  <c r="C71" i="20"/>
  <c r="C70" i="20"/>
  <c r="C69" i="20"/>
  <c r="C68" i="20"/>
  <c r="C67" i="20"/>
  <c r="C66" i="20"/>
  <c r="C65" i="20"/>
  <c r="C64" i="20"/>
  <c r="C63" i="20"/>
  <c r="C62" i="20"/>
  <c r="C61" i="20"/>
  <c r="C60" i="20"/>
  <c r="C59" i="20"/>
  <c r="C58" i="20"/>
  <c r="C57" i="20"/>
  <c r="C56" i="20"/>
  <c r="C55" i="20"/>
  <c r="C54" i="20"/>
  <c r="C53" i="20"/>
  <c r="C52" i="20"/>
  <c r="C51" i="20"/>
  <c r="C50" i="20"/>
  <c r="C49" i="20"/>
  <c r="C48" i="20"/>
  <c r="C47" i="20"/>
  <c r="C46" i="20"/>
  <c r="C45" i="20"/>
  <c r="C44" i="20"/>
  <c r="C43" i="20"/>
  <c r="C42" i="20"/>
  <c r="C41" i="20"/>
  <c r="C40" i="20"/>
  <c r="C39" i="20"/>
  <c r="C38" i="20"/>
  <c r="C37" i="20"/>
  <c r="C36" i="20"/>
  <c r="C35" i="20"/>
  <c r="C34" i="20"/>
  <c r="C33" i="20"/>
  <c r="C32" i="20"/>
  <c r="C31" i="20"/>
  <c r="C30" i="20"/>
  <c r="C29" i="20"/>
  <c r="C28" i="20"/>
  <c r="C27" i="20"/>
  <c r="C26" i="20"/>
  <c r="C25" i="20"/>
  <c r="C24" i="20"/>
  <c r="C23" i="20"/>
  <c r="C22" i="20"/>
  <c r="C21" i="20"/>
  <c r="C20" i="20"/>
  <c r="C19" i="20"/>
  <c r="C18" i="20"/>
  <c r="C17" i="20"/>
  <c r="C16" i="20"/>
  <c r="C15" i="20"/>
  <c r="C14" i="20"/>
  <c r="C13" i="20"/>
  <c r="C12" i="20"/>
  <c r="C11" i="20"/>
  <c r="C10" i="20"/>
  <c r="C9" i="20"/>
  <c r="C8" i="20"/>
  <c r="C7" i="20"/>
  <c r="C6" i="20"/>
  <c r="C5" i="20"/>
  <c r="C4" i="20"/>
  <c r="C3" i="20"/>
  <c r="K335" i="20" l="1"/>
  <c r="E367" i="20" l="1"/>
  <c r="D367" i="20"/>
  <c r="A365" i="20"/>
  <c r="A364" i="20"/>
  <c r="A363" i="20"/>
  <c r="A362" i="20"/>
  <c r="A361" i="20"/>
  <c r="A360" i="20"/>
  <c r="A359" i="20"/>
  <c r="A358" i="20"/>
  <c r="A357" i="20"/>
  <c r="A356" i="20"/>
  <c r="A355" i="20"/>
  <c r="A354" i="20"/>
  <c r="A353" i="20"/>
  <c r="A352" i="20"/>
  <c r="A351" i="20"/>
  <c r="A350" i="20"/>
  <c r="A349" i="20"/>
  <c r="A348" i="20"/>
  <c r="A347" i="20"/>
  <c r="A346" i="20"/>
  <c r="A345" i="20"/>
  <c r="A344" i="20"/>
  <c r="A343" i="20"/>
  <c r="A342" i="20"/>
  <c r="A341" i="20"/>
  <c r="A340" i="20"/>
  <c r="A339" i="20"/>
  <c r="A338" i="20"/>
  <c r="A337" i="20"/>
  <c r="A336" i="20"/>
  <c r="A335" i="20"/>
  <c r="A334" i="20"/>
  <c r="A332" i="20"/>
  <c r="A331" i="20"/>
  <c r="A330" i="20"/>
  <c r="A329" i="20"/>
  <c r="A328" i="20"/>
  <c r="A327" i="20"/>
  <c r="A326" i="20"/>
  <c r="A325" i="20"/>
  <c r="A324" i="20"/>
  <c r="A323" i="20"/>
  <c r="A322" i="20"/>
  <c r="A321" i="20"/>
  <c r="A320" i="20"/>
  <c r="A319" i="20"/>
  <c r="A318" i="20"/>
  <c r="A317" i="20"/>
  <c r="A316" i="20"/>
  <c r="A315" i="20"/>
  <c r="A314" i="20"/>
  <c r="A313" i="20"/>
  <c r="A312" i="20"/>
  <c r="A311" i="20"/>
  <c r="A310" i="20"/>
  <c r="A309" i="20"/>
  <c r="A308" i="20"/>
  <c r="A307" i="20"/>
  <c r="A306" i="20"/>
  <c r="A305" i="20"/>
  <c r="A304" i="20"/>
  <c r="A303" i="20"/>
  <c r="A302" i="20"/>
  <c r="A301" i="20"/>
  <c r="A300" i="20"/>
  <c r="A299" i="20"/>
  <c r="A298" i="20"/>
  <c r="A297" i="20"/>
  <c r="A296" i="20"/>
  <c r="A295" i="20"/>
  <c r="A294" i="20"/>
  <c r="A293" i="20"/>
  <c r="A292" i="20"/>
  <c r="A291" i="20"/>
  <c r="A290" i="20"/>
  <c r="A289" i="20"/>
  <c r="A288" i="20"/>
  <c r="A287" i="20"/>
  <c r="A286" i="20"/>
  <c r="A285" i="20"/>
  <c r="A284" i="20"/>
  <c r="A283" i="20"/>
  <c r="A282" i="20"/>
  <c r="A281" i="20"/>
  <c r="A280" i="20"/>
  <c r="A279" i="20"/>
  <c r="A278" i="20"/>
  <c r="A277" i="20"/>
  <c r="A276" i="20"/>
  <c r="A275" i="20"/>
  <c r="A274" i="20"/>
  <c r="A272" i="20"/>
  <c r="A271" i="20"/>
  <c r="A270" i="20"/>
  <c r="A269" i="20"/>
  <c r="A268" i="20"/>
  <c r="A267" i="20"/>
  <c r="A266" i="20"/>
  <c r="A265" i="20"/>
  <c r="A264" i="20"/>
  <c r="A263" i="20"/>
  <c r="A262" i="20"/>
  <c r="A261" i="20"/>
  <c r="A260" i="20"/>
  <c r="A259" i="20"/>
  <c r="A258" i="20"/>
  <c r="A257" i="20"/>
  <c r="A256" i="20"/>
  <c r="A255" i="20"/>
  <c r="A254" i="20"/>
  <c r="A253" i="20"/>
  <c r="A252" i="20"/>
  <c r="A251" i="20"/>
  <c r="A250" i="20"/>
  <c r="A249" i="20"/>
  <c r="A248" i="20"/>
  <c r="A247" i="20"/>
  <c r="A246" i="20"/>
  <c r="A245" i="20"/>
  <c r="A244" i="20"/>
  <c r="A242" i="20"/>
  <c r="A241" i="20"/>
  <c r="A240" i="20"/>
  <c r="A239" i="20"/>
  <c r="A238" i="20"/>
  <c r="A237" i="20"/>
  <c r="A236" i="20"/>
  <c r="A235" i="20"/>
  <c r="A234" i="20"/>
  <c r="A233" i="20"/>
  <c r="A232" i="20"/>
  <c r="A231" i="20"/>
  <c r="A230" i="20"/>
  <c r="A229" i="20"/>
  <c r="A228" i="20"/>
  <c r="A227" i="20"/>
  <c r="A226" i="20"/>
  <c r="A225" i="20"/>
  <c r="A224" i="20"/>
  <c r="A223" i="20"/>
  <c r="A222" i="20"/>
  <c r="A221" i="20"/>
  <c r="A220" i="20"/>
  <c r="A219" i="20"/>
  <c r="A218" i="20"/>
  <c r="A217" i="20"/>
  <c r="A216" i="20"/>
  <c r="A215" i="20"/>
  <c r="A214" i="20"/>
  <c r="A213" i="20"/>
  <c r="A211" i="20"/>
  <c r="A210" i="20"/>
  <c r="A209" i="20"/>
  <c r="A208" i="20"/>
  <c r="A207" i="20"/>
  <c r="A206" i="20"/>
  <c r="A205" i="20"/>
  <c r="A204" i="20"/>
  <c r="A203" i="20"/>
  <c r="A202" i="20"/>
  <c r="A201" i="20"/>
  <c r="A200" i="20"/>
  <c r="A199" i="20"/>
  <c r="A198" i="20"/>
  <c r="A197" i="20"/>
  <c r="A196" i="20"/>
  <c r="A195" i="20"/>
  <c r="A194" i="20"/>
  <c r="A193" i="20"/>
  <c r="A192" i="20"/>
  <c r="A191" i="20"/>
  <c r="A190" i="20"/>
  <c r="A189" i="20"/>
  <c r="A188" i="20"/>
  <c r="A187" i="20"/>
  <c r="A186" i="20"/>
  <c r="A185" i="20"/>
  <c r="A184" i="20"/>
  <c r="A183" i="20"/>
  <c r="A182" i="20"/>
  <c r="A181" i="20"/>
  <c r="A180" i="20"/>
  <c r="A179" i="20"/>
  <c r="A178" i="20"/>
  <c r="A177" i="20"/>
  <c r="A176" i="20"/>
  <c r="A175" i="20"/>
  <c r="A174" i="20"/>
  <c r="A173" i="20"/>
  <c r="A172" i="20"/>
  <c r="A171" i="20"/>
  <c r="A170" i="20"/>
  <c r="A169" i="20"/>
  <c r="A168" i="20"/>
  <c r="A167" i="20"/>
  <c r="A166" i="20"/>
  <c r="A165" i="20"/>
  <c r="A163" i="20"/>
  <c r="A162" i="20"/>
  <c r="A161" i="20"/>
  <c r="A160" i="20"/>
  <c r="A159" i="20"/>
  <c r="A158" i="20"/>
  <c r="A157" i="20"/>
  <c r="A156" i="20"/>
  <c r="A155" i="20"/>
  <c r="A154" i="20"/>
  <c r="A153" i="20"/>
  <c r="A152" i="20"/>
  <c r="A150" i="20"/>
  <c r="A149" i="20"/>
  <c r="A148" i="20"/>
  <c r="A147" i="20"/>
  <c r="A146" i="20"/>
  <c r="A145" i="20"/>
  <c r="A144" i="20"/>
  <c r="A143" i="20"/>
  <c r="A142" i="20"/>
  <c r="A141" i="20"/>
  <c r="A140" i="20"/>
  <c r="A139" i="20"/>
  <c r="A138" i="20"/>
  <c r="A137" i="20"/>
  <c r="A136" i="20"/>
  <c r="A135" i="20"/>
  <c r="A134" i="20"/>
  <c r="A133" i="20"/>
  <c r="A132" i="20"/>
  <c r="A131" i="20"/>
  <c r="A130" i="20"/>
  <c r="A129" i="20"/>
  <c r="A128" i="20"/>
  <c r="A127" i="20"/>
  <c r="A126" i="20"/>
  <c r="A125" i="20"/>
  <c r="A124" i="20"/>
  <c r="A123" i="20"/>
  <c r="A122" i="20"/>
  <c r="A121" i="20"/>
  <c r="A120" i="20"/>
  <c r="A118" i="20"/>
  <c r="A117" i="20"/>
  <c r="A116" i="20"/>
  <c r="A115" i="20"/>
  <c r="A114" i="20"/>
  <c r="A113" i="20"/>
  <c r="A112" i="20"/>
  <c r="A111" i="20"/>
  <c r="A110" i="20"/>
  <c r="A109" i="20"/>
  <c r="A108" i="20"/>
  <c r="A107" i="20"/>
  <c r="A106" i="20"/>
  <c r="A105" i="20"/>
  <c r="A104" i="20"/>
  <c r="A103" i="20"/>
  <c r="A102" i="20"/>
  <c r="A101" i="20"/>
  <c r="A100" i="20"/>
  <c r="A99" i="20"/>
  <c r="A98" i="20"/>
  <c r="A97" i="20"/>
  <c r="A96" i="20"/>
  <c r="A95" i="20"/>
  <c r="A94" i="20"/>
  <c r="A93" i="20"/>
  <c r="A92" i="20"/>
  <c r="A91" i="20"/>
  <c r="A89" i="20"/>
  <c r="A88" i="20"/>
  <c r="A87" i="20"/>
  <c r="A86" i="20"/>
  <c r="A85" i="20"/>
  <c r="A84" i="20"/>
  <c r="A83" i="20"/>
  <c r="A82" i="20"/>
  <c r="A81" i="20"/>
  <c r="A80" i="20"/>
  <c r="A79" i="20"/>
  <c r="A78" i="20"/>
  <c r="A77" i="20"/>
  <c r="A76" i="20"/>
  <c r="A75" i="20"/>
  <c r="A74" i="20"/>
  <c r="A73" i="20"/>
  <c r="A72" i="20"/>
  <c r="A71" i="20"/>
  <c r="A70" i="20"/>
  <c r="A69" i="20"/>
  <c r="A68" i="20"/>
  <c r="A67" i="20"/>
  <c r="A66" i="20"/>
  <c r="A65" i="20"/>
  <c r="A64" i="20"/>
  <c r="A63" i="20"/>
  <c r="A62" i="20"/>
  <c r="A61" i="20"/>
  <c r="A60" i="20"/>
  <c r="A59" i="20"/>
  <c r="A57" i="20"/>
  <c r="A56" i="20"/>
  <c r="A55" i="20"/>
  <c r="A54" i="20"/>
  <c r="A53" i="20"/>
  <c r="A52" i="20"/>
  <c r="A51" i="20"/>
  <c r="A50" i="20"/>
  <c r="A49" i="20"/>
  <c r="A48" i="20"/>
  <c r="A47" i="20"/>
  <c r="A46" i="20"/>
  <c r="A45" i="20"/>
  <c r="A44" i="20"/>
  <c r="A43" i="20"/>
  <c r="A42" i="20"/>
  <c r="A41" i="20"/>
  <c r="A40" i="20"/>
  <c r="A39" i="20"/>
  <c r="A38" i="20"/>
  <c r="A37" i="20"/>
  <c r="A36" i="20"/>
  <c r="A35" i="20"/>
  <c r="A34" i="20"/>
  <c r="A33" i="20"/>
  <c r="A32" i="20"/>
  <c r="A31" i="20"/>
  <c r="A30" i="20"/>
  <c r="A29" i="20"/>
  <c r="A28" i="20"/>
  <c r="A27" i="20"/>
  <c r="A26" i="20"/>
  <c r="A25" i="20"/>
  <c r="A24" i="20"/>
  <c r="A23" i="20"/>
  <c r="A22" i="20"/>
  <c r="A21" i="20"/>
  <c r="A20" i="20"/>
  <c r="A19" i="20"/>
  <c r="M18" i="20"/>
  <c r="N18" i="20" s="1"/>
  <c r="A18" i="20"/>
  <c r="M17" i="20"/>
  <c r="N17" i="20" s="1"/>
  <c r="A17" i="20"/>
  <c r="M16" i="20"/>
  <c r="N16" i="20" s="1"/>
  <c r="A16" i="20"/>
  <c r="M15" i="20"/>
  <c r="N15" i="20" s="1"/>
  <c r="A15" i="20"/>
  <c r="M14" i="20"/>
  <c r="N14" i="20" s="1"/>
  <c r="A14" i="20"/>
  <c r="M13" i="20"/>
  <c r="N13" i="20" s="1"/>
  <c r="A13" i="20"/>
  <c r="M12" i="20"/>
  <c r="N12" i="20" s="1"/>
  <c r="A12" i="20"/>
  <c r="M11" i="20"/>
  <c r="N11" i="20" s="1"/>
  <c r="A11" i="20"/>
  <c r="M10" i="20"/>
  <c r="N10" i="20" s="1"/>
  <c r="A10" i="20"/>
  <c r="M9" i="20"/>
  <c r="N9" i="20" s="1"/>
  <c r="A9" i="20"/>
  <c r="M8" i="20"/>
  <c r="N8" i="20" s="1"/>
  <c r="A8" i="20"/>
  <c r="M7" i="20"/>
  <c r="A7" i="20"/>
  <c r="A6" i="20"/>
  <c r="A5" i="20"/>
  <c r="A4" i="20"/>
  <c r="A3" i="20"/>
  <c r="A2" i="20"/>
  <c r="K244" i="20" l="1"/>
  <c r="L16" i="20"/>
  <c r="K152" i="20"/>
  <c r="K213" i="20"/>
  <c r="L14" i="20"/>
  <c r="L17" i="20"/>
  <c r="L18" i="20"/>
  <c r="L8" i="20"/>
  <c r="K91" i="20"/>
  <c r="L10" i="20"/>
  <c r="L12" i="20"/>
  <c r="K274" i="20"/>
  <c r="K305" i="20"/>
  <c r="L13" i="20"/>
  <c r="L9" i="20"/>
  <c r="L7" i="20"/>
  <c r="O7" i="20" s="1"/>
  <c r="K32" i="20"/>
  <c r="K60" i="20"/>
  <c r="K121" i="20"/>
  <c r="K182" i="20"/>
  <c r="L11" i="20"/>
  <c r="L15" i="20"/>
  <c r="K366" i="20"/>
  <c r="O8" i="20" l="1"/>
  <c r="O9" i="20" s="1"/>
  <c r="O10" i="20" s="1"/>
  <c r="O11" i="20" s="1"/>
  <c r="O12" i="20" s="1"/>
  <c r="O13" i="20" s="1"/>
  <c r="O14" i="20" s="1"/>
  <c r="O15" i="20" s="1"/>
  <c r="O16" i="20" s="1"/>
  <c r="O17" i="20" s="1"/>
  <c r="O18" i="20" s="1"/>
  <c r="E368" i="12" l="1"/>
  <c r="D368" i="12"/>
  <c r="C367" i="12"/>
  <c r="C366" i="12"/>
  <c r="A366" i="12"/>
  <c r="C365" i="12"/>
  <c r="A365" i="12"/>
  <c r="C364" i="12"/>
  <c r="A364" i="12"/>
  <c r="C363" i="12"/>
  <c r="A363" i="12"/>
  <c r="C362" i="12"/>
  <c r="A362" i="12"/>
  <c r="C361" i="12"/>
  <c r="A361" i="12"/>
  <c r="C360" i="12"/>
  <c r="A360" i="12"/>
  <c r="C359" i="12"/>
  <c r="A359" i="12"/>
  <c r="C358" i="12"/>
  <c r="A358" i="12"/>
  <c r="C357" i="12"/>
  <c r="A357" i="12"/>
  <c r="C356" i="12"/>
  <c r="A356" i="12"/>
  <c r="C355" i="12"/>
  <c r="A355" i="12"/>
  <c r="C354" i="12"/>
  <c r="A354" i="12"/>
  <c r="C353" i="12"/>
  <c r="A353" i="12"/>
  <c r="C352" i="12"/>
  <c r="A352" i="12"/>
  <c r="C351" i="12"/>
  <c r="A351" i="12"/>
  <c r="C350" i="12"/>
  <c r="A350" i="12"/>
  <c r="C349" i="12"/>
  <c r="A349" i="12"/>
  <c r="C348" i="12"/>
  <c r="A348" i="12"/>
  <c r="C347" i="12"/>
  <c r="A347" i="12"/>
  <c r="C346" i="12"/>
  <c r="A346" i="12"/>
  <c r="C345" i="12"/>
  <c r="A345" i="12"/>
  <c r="C344" i="12"/>
  <c r="A344" i="12"/>
  <c r="C343" i="12"/>
  <c r="A343" i="12"/>
  <c r="C342" i="12"/>
  <c r="A342" i="12"/>
  <c r="C341" i="12"/>
  <c r="A341" i="12"/>
  <c r="C340" i="12"/>
  <c r="A340" i="12"/>
  <c r="C339" i="12"/>
  <c r="A339" i="12"/>
  <c r="C338" i="12"/>
  <c r="A338" i="12"/>
  <c r="C337" i="12"/>
  <c r="A337" i="12"/>
  <c r="C336" i="12"/>
  <c r="A336" i="12"/>
  <c r="C335" i="12"/>
  <c r="A335" i="12"/>
  <c r="C334" i="12"/>
  <c r="C333" i="12"/>
  <c r="A333" i="12"/>
  <c r="C332" i="12"/>
  <c r="A332" i="12"/>
  <c r="C331" i="12"/>
  <c r="A331" i="12"/>
  <c r="C330" i="12"/>
  <c r="A330" i="12"/>
  <c r="C329" i="12"/>
  <c r="A329" i="12"/>
  <c r="C328" i="12"/>
  <c r="A328" i="12"/>
  <c r="C327" i="12"/>
  <c r="A327" i="12"/>
  <c r="C326" i="12"/>
  <c r="A326" i="12"/>
  <c r="C325" i="12"/>
  <c r="A325" i="12"/>
  <c r="C324" i="12"/>
  <c r="A324" i="12"/>
  <c r="C323" i="12"/>
  <c r="A323" i="12"/>
  <c r="C322" i="12"/>
  <c r="A322" i="12"/>
  <c r="C321" i="12"/>
  <c r="A321" i="12"/>
  <c r="C320" i="12"/>
  <c r="A320" i="12"/>
  <c r="C319" i="12"/>
  <c r="A319" i="12"/>
  <c r="C318" i="12"/>
  <c r="A318" i="12"/>
  <c r="C317" i="12"/>
  <c r="A317" i="12"/>
  <c r="C316" i="12"/>
  <c r="A316" i="12"/>
  <c r="C315" i="12"/>
  <c r="A315" i="12"/>
  <c r="C314" i="12"/>
  <c r="A314" i="12"/>
  <c r="C313" i="12"/>
  <c r="A313" i="12"/>
  <c r="C312" i="12"/>
  <c r="A312" i="12"/>
  <c r="C311" i="12"/>
  <c r="A311" i="12"/>
  <c r="C310" i="12"/>
  <c r="A310" i="12"/>
  <c r="C309" i="12"/>
  <c r="A309" i="12"/>
  <c r="C308" i="12"/>
  <c r="A308" i="12"/>
  <c r="C307" i="12"/>
  <c r="A307" i="12"/>
  <c r="C306" i="12"/>
  <c r="A306" i="12"/>
  <c r="C305" i="12"/>
  <c r="A305" i="12"/>
  <c r="C304" i="12"/>
  <c r="A304" i="12"/>
  <c r="C303" i="12"/>
  <c r="A303" i="12"/>
  <c r="C302" i="12"/>
  <c r="A302" i="12"/>
  <c r="C301" i="12"/>
  <c r="A301" i="12"/>
  <c r="C300" i="12"/>
  <c r="A300" i="12"/>
  <c r="C299" i="12"/>
  <c r="A299" i="12"/>
  <c r="C298" i="12"/>
  <c r="A298" i="12"/>
  <c r="C297" i="12"/>
  <c r="A297" i="12"/>
  <c r="C296" i="12"/>
  <c r="A296" i="12"/>
  <c r="C295" i="12"/>
  <c r="A295" i="12"/>
  <c r="C294" i="12"/>
  <c r="A294" i="12"/>
  <c r="C293" i="12"/>
  <c r="A293" i="12"/>
  <c r="C292" i="12"/>
  <c r="A292" i="12"/>
  <c r="C291" i="12"/>
  <c r="A291" i="12"/>
  <c r="C290" i="12"/>
  <c r="A290" i="12"/>
  <c r="C289" i="12"/>
  <c r="A289" i="12"/>
  <c r="C288" i="12"/>
  <c r="A288" i="12"/>
  <c r="C287" i="12"/>
  <c r="A287" i="12"/>
  <c r="C286" i="12"/>
  <c r="A286" i="12"/>
  <c r="C285" i="12"/>
  <c r="A285" i="12"/>
  <c r="C284" i="12"/>
  <c r="A284" i="12"/>
  <c r="C283" i="12"/>
  <c r="A283" i="12"/>
  <c r="C282" i="12"/>
  <c r="A282" i="12"/>
  <c r="C281" i="12"/>
  <c r="A281" i="12"/>
  <c r="C280" i="12"/>
  <c r="A280" i="12"/>
  <c r="C279" i="12"/>
  <c r="A279" i="12"/>
  <c r="C278" i="12"/>
  <c r="A278" i="12"/>
  <c r="C277" i="12"/>
  <c r="A277" i="12"/>
  <c r="C276" i="12"/>
  <c r="A276" i="12"/>
  <c r="C275" i="12"/>
  <c r="A275" i="12"/>
  <c r="C274" i="12"/>
  <c r="C273" i="12"/>
  <c r="A273" i="12"/>
  <c r="C272" i="12"/>
  <c r="A272" i="12"/>
  <c r="C271" i="12"/>
  <c r="A271" i="12"/>
  <c r="C270" i="12"/>
  <c r="A270" i="12"/>
  <c r="C269" i="12"/>
  <c r="A269" i="12"/>
  <c r="C268" i="12"/>
  <c r="A268" i="12"/>
  <c r="C267" i="12"/>
  <c r="A267" i="12"/>
  <c r="C266" i="12"/>
  <c r="A266" i="12"/>
  <c r="C265" i="12"/>
  <c r="A265" i="12"/>
  <c r="C264" i="12"/>
  <c r="A264" i="12"/>
  <c r="C263" i="12"/>
  <c r="A263" i="12"/>
  <c r="C262" i="12"/>
  <c r="A262" i="12"/>
  <c r="C261" i="12"/>
  <c r="A261" i="12"/>
  <c r="C260" i="12"/>
  <c r="A260" i="12"/>
  <c r="C259" i="12"/>
  <c r="A259" i="12"/>
  <c r="C258" i="12"/>
  <c r="A258" i="12"/>
  <c r="C257" i="12"/>
  <c r="A257" i="12"/>
  <c r="C256" i="12"/>
  <c r="A256" i="12"/>
  <c r="C255" i="12"/>
  <c r="A255" i="12"/>
  <c r="C254" i="12"/>
  <c r="A254" i="12"/>
  <c r="C253" i="12"/>
  <c r="A253" i="12"/>
  <c r="C252" i="12"/>
  <c r="A252" i="12"/>
  <c r="C251" i="12"/>
  <c r="A251" i="12"/>
  <c r="C250" i="12"/>
  <c r="A250" i="12"/>
  <c r="C249" i="12"/>
  <c r="A249" i="12"/>
  <c r="C248" i="12"/>
  <c r="A248" i="12"/>
  <c r="C247" i="12"/>
  <c r="A247" i="12"/>
  <c r="C246" i="12"/>
  <c r="A246" i="12"/>
  <c r="C245" i="12"/>
  <c r="A245" i="12"/>
  <c r="C244" i="12"/>
  <c r="C243" i="12"/>
  <c r="A243" i="12"/>
  <c r="C242" i="12"/>
  <c r="A242" i="12"/>
  <c r="C241" i="12"/>
  <c r="A241" i="12"/>
  <c r="C240" i="12"/>
  <c r="A240" i="12"/>
  <c r="C239" i="12"/>
  <c r="A239" i="12"/>
  <c r="C238" i="12"/>
  <c r="A238" i="12"/>
  <c r="C237" i="12"/>
  <c r="A237" i="12"/>
  <c r="C236" i="12"/>
  <c r="A236" i="12"/>
  <c r="C235" i="12"/>
  <c r="A235" i="12"/>
  <c r="C234" i="12"/>
  <c r="A234" i="12"/>
  <c r="C233" i="12"/>
  <c r="A233" i="12"/>
  <c r="C232" i="12"/>
  <c r="A232" i="12"/>
  <c r="C231" i="12"/>
  <c r="A231" i="12"/>
  <c r="C230" i="12"/>
  <c r="A230" i="12"/>
  <c r="C229" i="12"/>
  <c r="A229" i="12"/>
  <c r="C228" i="12"/>
  <c r="A228" i="12"/>
  <c r="C227" i="12"/>
  <c r="A227" i="12"/>
  <c r="C226" i="12"/>
  <c r="A226" i="12"/>
  <c r="C225" i="12"/>
  <c r="A225" i="12"/>
  <c r="C224" i="12"/>
  <c r="A224" i="12"/>
  <c r="C223" i="12"/>
  <c r="A223" i="12"/>
  <c r="C222" i="12"/>
  <c r="A222" i="12"/>
  <c r="C221" i="12"/>
  <c r="A221" i="12"/>
  <c r="C220" i="12"/>
  <c r="A220" i="12"/>
  <c r="C219" i="12"/>
  <c r="A219" i="12"/>
  <c r="C218" i="12"/>
  <c r="A218" i="12"/>
  <c r="C217" i="12"/>
  <c r="A217" i="12"/>
  <c r="C216" i="12"/>
  <c r="A216" i="12"/>
  <c r="C215" i="12"/>
  <c r="A215" i="12"/>
  <c r="C214" i="12"/>
  <c r="A214" i="12"/>
  <c r="C213" i="12"/>
  <c r="C212" i="12"/>
  <c r="A212" i="12"/>
  <c r="C211" i="12"/>
  <c r="A211" i="12"/>
  <c r="C210" i="12"/>
  <c r="A210" i="12"/>
  <c r="C209" i="12"/>
  <c r="A209" i="12"/>
  <c r="C208" i="12"/>
  <c r="A208" i="12"/>
  <c r="C207" i="12"/>
  <c r="A207" i="12"/>
  <c r="C206" i="12"/>
  <c r="A206" i="12"/>
  <c r="C205" i="12"/>
  <c r="A205" i="12"/>
  <c r="C204" i="12"/>
  <c r="A204" i="12"/>
  <c r="C203" i="12"/>
  <c r="A203" i="12"/>
  <c r="C202" i="12"/>
  <c r="A202" i="12"/>
  <c r="C201" i="12"/>
  <c r="A201" i="12"/>
  <c r="C200" i="12"/>
  <c r="A200" i="12"/>
  <c r="C199" i="12"/>
  <c r="A199" i="12"/>
  <c r="C198" i="12"/>
  <c r="A198" i="12"/>
  <c r="C197" i="12"/>
  <c r="A197" i="12"/>
  <c r="C196" i="12"/>
  <c r="A196" i="12"/>
  <c r="C195" i="12"/>
  <c r="A195" i="12"/>
  <c r="C194" i="12"/>
  <c r="A194" i="12"/>
  <c r="C193" i="12"/>
  <c r="A193" i="12"/>
  <c r="C192" i="12"/>
  <c r="A192" i="12"/>
  <c r="C191" i="12"/>
  <c r="A191" i="12"/>
  <c r="C190" i="12"/>
  <c r="A190" i="12"/>
  <c r="C189" i="12"/>
  <c r="A189" i="12"/>
  <c r="C188" i="12"/>
  <c r="A188" i="12"/>
  <c r="C187" i="12"/>
  <c r="A187" i="12"/>
  <c r="C186" i="12"/>
  <c r="A186" i="12"/>
  <c r="C185" i="12"/>
  <c r="A185" i="12"/>
  <c r="C184" i="12"/>
  <c r="A184" i="12"/>
  <c r="C183" i="12"/>
  <c r="A183" i="12"/>
  <c r="C182" i="12"/>
  <c r="A182" i="12"/>
  <c r="C181" i="12"/>
  <c r="A181" i="12"/>
  <c r="C180" i="12"/>
  <c r="A180" i="12"/>
  <c r="C179" i="12"/>
  <c r="A179" i="12"/>
  <c r="C178" i="12"/>
  <c r="A178" i="12"/>
  <c r="C177" i="12"/>
  <c r="A177" i="12"/>
  <c r="C176" i="12"/>
  <c r="A176" i="12"/>
  <c r="C175" i="12"/>
  <c r="A175" i="12"/>
  <c r="C174" i="12"/>
  <c r="A174" i="12"/>
  <c r="C173" i="12"/>
  <c r="A173" i="12"/>
  <c r="C172" i="12"/>
  <c r="A172" i="12"/>
  <c r="C171" i="12"/>
  <c r="A171" i="12"/>
  <c r="C170" i="12"/>
  <c r="A170" i="12"/>
  <c r="C169" i="12"/>
  <c r="A169" i="12"/>
  <c r="C168" i="12"/>
  <c r="A168" i="12"/>
  <c r="C167" i="12"/>
  <c r="A167" i="12"/>
  <c r="C166" i="12"/>
  <c r="A166" i="12"/>
  <c r="C165" i="12"/>
  <c r="C164" i="12"/>
  <c r="A164" i="12"/>
  <c r="C163" i="12"/>
  <c r="A163" i="12"/>
  <c r="C162" i="12"/>
  <c r="A162" i="12"/>
  <c r="C161" i="12"/>
  <c r="A161" i="12"/>
  <c r="C160" i="12"/>
  <c r="A160" i="12"/>
  <c r="C159" i="12"/>
  <c r="A159" i="12"/>
  <c r="C158" i="12"/>
  <c r="A158" i="12"/>
  <c r="C157" i="12"/>
  <c r="A157" i="12"/>
  <c r="C156" i="12"/>
  <c r="A156" i="12"/>
  <c r="C155" i="12"/>
  <c r="A155" i="12"/>
  <c r="C154" i="12"/>
  <c r="A154" i="12"/>
  <c r="C153" i="12"/>
  <c r="A153" i="12"/>
  <c r="C152" i="12"/>
  <c r="C151" i="12"/>
  <c r="A151" i="12"/>
  <c r="C150" i="12"/>
  <c r="A150" i="12"/>
  <c r="C149" i="12"/>
  <c r="A149" i="12"/>
  <c r="C148" i="12"/>
  <c r="A148" i="12"/>
  <c r="C147" i="12"/>
  <c r="A147" i="12"/>
  <c r="C146" i="12"/>
  <c r="A146" i="12"/>
  <c r="C145" i="12"/>
  <c r="A145" i="12"/>
  <c r="C144" i="12"/>
  <c r="A144" i="12"/>
  <c r="C143" i="12"/>
  <c r="A143" i="12"/>
  <c r="C142" i="12"/>
  <c r="A142" i="12"/>
  <c r="C141" i="12"/>
  <c r="A141" i="12"/>
  <c r="C140" i="12"/>
  <c r="A140" i="12"/>
  <c r="C139" i="12"/>
  <c r="A139" i="12"/>
  <c r="C138" i="12"/>
  <c r="A138" i="12"/>
  <c r="C137" i="12"/>
  <c r="A137" i="12"/>
  <c r="C136" i="12"/>
  <c r="A136" i="12"/>
  <c r="C135" i="12"/>
  <c r="A135" i="12"/>
  <c r="C134" i="12"/>
  <c r="A134" i="12"/>
  <c r="C133" i="12"/>
  <c r="A133" i="12"/>
  <c r="C132" i="12"/>
  <c r="A132" i="12"/>
  <c r="C131" i="12"/>
  <c r="A131" i="12"/>
  <c r="C130" i="12"/>
  <c r="A130" i="12"/>
  <c r="C129" i="12"/>
  <c r="A129" i="12"/>
  <c r="C128" i="12"/>
  <c r="A128" i="12"/>
  <c r="C127" i="12"/>
  <c r="A127" i="12"/>
  <c r="C126" i="12"/>
  <c r="A126" i="12"/>
  <c r="C125" i="12"/>
  <c r="A125" i="12"/>
  <c r="C124" i="12"/>
  <c r="A124" i="12"/>
  <c r="C123" i="12"/>
  <c r="A123" i="12"/>
  <c r="C122" i="12"/>
  <c r="A122" i="12"/>
  <c r="C121" i="12"/>
  <c r="A121" i="12"/>
  <c r="C120" i="12"/>
  <c r="C119" i="12"/>
  <c r="A119" i="12"/>
  <c r="C118" i="12"/>
  <c r="A118" i="12"/>
  <c r="C117" i="12"/>
  <c r="A117" i="12"/>
  <c r="C116" i="12"/>
  <c r="A116" i="12"/>
  <c r="C115" i="12"/>
  <c r="A115" i="12"/>
  <c r="C114" i="12"/>
  <c r="A114" i="12"/>
  <c r="C113" i="12"/>
  <c r="A113" i="12"/>
  <c r="C112" i="12"/>
  <c r="A112" i="12"/>
  <c r="C111" i="12"/>
  <c r="A111" i="12"/>
  <c r="C110" i="12"/>
  <c r="A110" i="12"/>
  <c r="C109" i="12"/>
  <c r="A109" i="12"/>
  <c r="C108" i="12"/>
  <c r="A108" i="12"/>
  <c r="C107" i="12"/>
  <c r="A107" i="12"/>
  <c r="C106" i="12"/>
  <c r="A106" i="12"/>
  <c r="C105" i="12"/>
  <c r="A105" i="12"/>
  <c r="C104" i="12"/>
  <c r="A104" i="12"/>
  <c r="C103" i="12"/>
  <c r="A103" i="12"/>
  <c r="C102" i="12"/>
  <c r="A102" i="12"/>
  <c r="C101" i="12"/>
  <c r="A101" i="12"/>
  <c r="C100" i="12"/>
  <c r="A100" i="12"/>
  <c r="C99" i="12"/>
  <c r="A99" i="12"/>
  <c r="C98" i="12"/>
  <c r="A98" i="12"/>
  <c r="C97" i="12"/>
  <c r="A97" i="12"/>
  <c r="C96" i="12"/>
  <c r="A96" i="12"/>
  <c r="C95" i="12"/>
  <c r="A95" i="12"/>
  <c r="C94" i="12"/>
  <c r="A94" i="12"/>
  <c r="C93" i="12"/>
  <c r="A93" i="12"/>
  <c r="C92" i="12"/>
  <c r="A92" i="12"/>
  <c r="C91" i="12"/>
  <c r="C90" i="12"/>
  <c r="A90" i="12"/>
  <c r="C89" i="12"/>
  <c r="A89" i="12"/>
  <c r="C88" i="12"/>
  <c r="A88" i="12"/>
  <c r="C87" i="12"/>
  <c r="A87" i="12"/>
  <c r="C86" i="12"/>
  <c r="A86" i="12"/>
  <c r="C85" i="12"/>
  <c r="A85" i="12"/>
  <c r="C84" i="12"/>
  <c r="A84" i="12"/>
  <c r="C83" i="12"/>
  <c r="A83" i="12"/>
  <c r="C82" i="12"/>
  <c r="A82" i="12"/>
  <c r="C81" i="12"/>
  <c r="A81" i="12"/>
  <c r="C80" i="12"/>
  <c r="A80" i="12"/>
  <c r="C79" i="12"/>
  <c r="A79" i="12"/>
  <c r="C78" i="12"/>
  <c r="A78" i="12"/>
  <c r="C77" i="12"/>
  <c r="A77" i="12"/>
  <c r="C76" i="12"/>
  <c r="A76" i="12"/>
  <c r="C75" i="12"/>
  <c r="A75" i="12"/>
  <c r="C74" i="12"/>
  <c r="A74" i="12"/>
  <c r="C73" i="12"/>
  <c r="A73" i="12"/>
  <c r="C72" i="12"/>
  <c r="A72" i="12"/>
  <c r="C71" i="12"/>
  <c r="A71" i="12"/>
  <c r="C70" i="12"/>
  <c r="A70" i="12"/>
  <c r="C69" i="12"/>
  <c r="A69" i="12"/>
  <c r="C68" i="12"/>
  <c r="A68" i="12"/>
  <c r="C67" i="12"/>
  <c r="A67" i="12"/>
  <c r="C66" i="12"/>
  <c r="A66" i="12"/>
  <c r="C65" i="12"/>
  <c r="A65" i="12"/>
  <c r="C64" i="12"/>
  <c r="A64" i="12"/>
  <c r="C63" i="12"/>
  <c r="A63" i="12"/>
  <c r="C62" i="12"/>
  <c r="A62" i="12"/>
  <c r="C61" i="12"/>
  <c r="A61" i="12"/>
  <c r="C60" i="12"/>
  <c r="A60" i="12"/>
  <c r="C59" i="12"/>
  <c r="C58" i="12"/>
  <c r="A58" i="12"/>
  <c r="C57" i="12"/>
  <c r="A57" i="12"/>
  <c r="C56" i="12"/>
  <c r="A56" i="12"/>
  <c r="C55" i="12"/>
  <c r="A55" i="12"/>
  <c r="C54" i="12"/>
  <c r="A54" i="12"/>
  <c r="C53" i="12"/>
  <c r="A53" i="12"/>
  <c r="C52" i="12"/>
  <c r="A52" i="12"/>
  <c r="C51" i="12"/>
  <c r="A51" i="12"/>
  <c r="C50" i="12"/>
  <c r="A50" i="12"/>
  <c r="C49" i="12"/>
  <c r="A49" i="12"/>
  <c r="C48" i="12"/>
  <c r="A48" i="12"/>
  <c r="C47" i="12"/>
  <c r="A47" i="12"/>
  <c r="C46" i="12"/>
  <c r="A46" i="12"/>
  <c r="C45" i="12"/>
  <c r="A45" i="12"/>
  <c r="C44" i="12"/>
  <c r="A44" i="12"/>
  <c r="C43" i="12"/>
  <c r="A43" i="12"/>
  <c r="C42" i="12"/>
  <c r="A42" i="12"/>
  <c r="C41" i="12"/>
  <c r="A41" i="12"/>
  <c r="C40" i="12"/>
  <c r="A40" i="12"/>
  <c r="C39" i="12"/>
  <c r="A39" i="12"/>
  <c r="C38" i="12"/>
  <c r="A38" i="12"/>
  <c r="C37" i="12"/>
  <c r="A37" i="12"/>
  <c r="C36" i="12"/>
  <c r="A36" i="12"/>
  <c r="C35" i="12"/>
  <c r="A35" i="12"/>
  <c r="C34" i="12"/>
  <c r="A34" i="12"/>
  <c r="C33" i="12"/>
  <c r="A33" i="12"/>
  <c r="C32" i="12"/>
  <c r="A32" i="12"/>
  <c r="C31" i="12"/>
  <c r="A31" i="12"/>
  <c r="C30" i="12"/>
  <c r="A30" i="12"/>
  <c r="C29" i="12"/>
  <c r="A29" i="12"/>
  <c r="C28" i="12"/>
  <c r="A28" i="12"/>
  <c r="C27" i="12"/>
  <c r="A27" i="12"/>
  <c r="C26" i="12"/>
  <c r="A26" i="12"/>
  <c r="C25" i="12"/>
  <c r="A25" i="12"/>
  <c r="C24" i="12"/>
  <c r="A24" i="12"/>
  <c r="C23" i="12"/>
  <c r="A23" i="12"/>
  <c r="C22" i="12"/>
  <c r="A22" i="12"/>
  <c r="C21" i="12"/>
  <c r="A21" i="12"/>
  <c r="C20" i="12"/>
  <c r="A20" i="12"/>
  <c r="C19" i="12"/>
  <c r="A19" i="12"/>
  <c r="H18" i="12"/>
  <c r="I18" i="12" s="1"/>
  <c r="C18" i="12"/>
  <c r="A18" i="12"/>
  <c r="H17" i="12"/>
  <c r="I17" i="12" s="1"/>
  <c r="C17" i="12"/>
  <c r="A17" i="12"/>
  <c r="H16" i="12"/>
  <c r="I16" i="12" s="1"/>
  <c r="C16" i="12"/>
  <c r="A16" i="12"/>
  <c r="H15" i="12"/>
  <c r="I15" i="12" s="1"/>
  <c r="C15" i="12"/>
  <c r="A15" i="12"/>
  <c r="H14" i="12"/>
  <c r="I14" i="12" s="1"/>
  <c r="C14" i="12"/>
  <c r="A14" i="12"/>
  <c r="H13" i="12"/>
  <c r="I13" i="12" s="1"/>
  <c r="C13" i="12"/>
  <c r="A13" i="12"/>
  <c r="H12" i="12"/>
  <c r="I12" i="12" s="1"/>
  <c r="C12" i="12"/>
  <c r="A12" i="12"/>
  <c r="H11" i="12"/>
  <c r="I11" i="12" s="1"/>
  <c r="C11" i="12"/>
  <c r="A11" i="12"/>
  <c r="H10" i="12"/>
  <c r="I10" i="12" s="1"/>
  <c r="C10" i="12"/>
  <c r="A10" i="12"/>
  <c r="H9" i="12"/>
  <c r="I9" i="12" s="1"/>
  <c r="C9" i="12"/>
  <c r="A9" i="12"/>
  <c r="H8" i="12"/>
  <c r="I8" i="12" s="1"/>
  <c r="C8" i="12"/>
  <c r="A8" i="12"/>
  <c r="H7" i="12"/>
  <c r="C7" i="12"/>
  <c r="A7" i="12"/>
  <c r="C6" i="12"/>
  <c r="A6" i="12"/>
  <c r="C5" i="12"/>
  <c r="A5" i="12"/>
  <c r="C4" i="12"/>
  <c r="A4" i="12"/>
  <c r="C3" i="12"/>
  <c r="A3" i="12"/>
  <c r="C2" i="12"/>
  <c r="A2" i="12"/>
  <c r="G13" i="12" l="1"/>
  <c r="F61" i="12"/>
  <c r="F367" i="12"/>
  <c r="G10" i="12"/>
  <c r="G16" i="12"/>
  <c r="G9" i="12"/>
  <c r="G11" i="12"/>
  <c r="F306" i="12"/>
  <c r="F245" i="12"/>
  <c r="F214" i="12"/>
  <c r="G18" i="12"/>
  <c r="F153" i="12"/>
  <c r="F275" i="12"/>
  <c r="G17" i="12"/>
  <c r="G14" i="12"/>
  <c r="G15" i="12"/>
  <c r="G7" i="12"/>
  <c r="J7" i="12" s="1"/>
  <c r="G8" i="12"/>
  <c r="F32" i="12"/>
  <c r="F92" i="12"/>
  <c r="F336" i="12"/>
  <c r="F122" i="12"/>
  <c r="F183" i="12"/>
  <c r="G12" i="12"/>
  <c r="J8" i="12" l="1"/>
  <c r="J9" i="12" s="1"/>
  <c r="J10" i="12" s="1"/>
  <c r="J11" i="12" s="1"/>
  <c r="J12" i="12" s="1"/>
  <c r="J13" i="12" s="1"/>
  <c r="J14" i="12" s="1"/>
  <c r="J15" i="12" s="1"/>
  <c r="J16" i="12" s="1"/>
  <c r="J17" i="12" s="1"/>
  <c r="J18" i="12" s="1"/>
</calcChain>
</file>

<file path=xl/sharedStrings.xml><?xml version="1.0" encoding="utf-8"?>
<sst xmlns="http://schemas.openxmlformats.org/spreadsheetml/2006/main" count="127" uniqueCount="52">
  <si>
    <t>Average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</si>
  <si>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</si>
  <si>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</si>
  <si>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</si>
  <si>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</si>
  <si>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</si>
  <si>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</si>
  <si>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</si>
  <si>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</si>
  <si>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</si>
  <si>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</si>
  <si>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</si>
  <si>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</si>
  <si>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Week</t>
  </si>
  <si>
    <t>Date</t>
  </si>
  <si>
    <t>Month</t>
  </si>
  <si>
    <t>Rain (mm)</t>
  </si>
  <si>
    <t>Number of Rainy Days</t>
  </si>
  <si>
    <t>Percentage</t>
  </si>
  <si>
    <t>YTD</t>
  </si>
  <si>
    <t>Cumulative per area</t>
  </si>
  <si>
    <t>WHD</t>
  </si>
  <si>
    <t>Nogbele</t>
  </si>
  <si>
    <t>Rainfall_Fourkoura _mm</t>
  </si>
  <si>
    <t>Rainfall_WGO CAMP _mm</t>
  </si>
  <si>
    <t>Rainfall_TSF/WMA_mm</t>
  </si>
  <si>
    <t>Rainfall_Admin_mm</t>
  </si>
  <si>
    <t>Rainfall_Airstrip</t>
  </si>
  <si>
    <t xml:space="preserve">Fourkoura </t>
  </si>
  <si>
    <t>WGO CAMP</t>
  </si>
  <si>
    <t>TSF/WMA</t>
  </si>
  <si>
    <t>Admin</t>
  </si>
  <si>
    <t>Airstrip</t>
  </si>
  <si>
    <t>Admin manual</t>
  </si>
  <si>
    <t>26,5</t>
  </si>
  <si>
    <t>Samavogo</t>
  </si>
  <si>
    <t>Année</t>
  </si>
  <si>
    <t>Précipitations</t>
  </si>
  <si>
    <t>mois</t>
  </si>
  <si>
    <t>précipitations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</si>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</sst>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_-* #,##0.00_-;\-* #,##0.00_-;_-* &quot;-&quot;??_-;_-@_-"/>
    <numFmt numFmtId="165" formatCode="[$-409]d\-mmm\-yy;@"/>
    <numFmt numFmtId="166" formatCode="0.0"/>
    <numFmt numFmtId="167" formatCode="0.0%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rgb="FF3333FF"/>
      </bottom>
      <diagonal/>
    </border>
    <border>
      <left/>
      <right/>
      <top/>
      <bottom style="thick">
        <color rgb="FF3333F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ck">
        <color rgb="FF3333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theme="8" tint="-0.499984740745262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theme="4" tint="-0.249977111117893"/>
      </bottom>
      <diagonal/>
    </border>
    <border>
      <left style="thin">
        <color indexed="64"/>
      </left>
      <right/>
      <top style="thin">
        <color indexed="64"/>
      </top>
      <bottom style="thick">
        <color theme="4" tint="-0.249977111117893"/>
      </bottom>
      <diagonal/>
    </border>
    <border>
      <left/>
      <right/>
      <top/>
      <bottom style="thick">
        <color theme="4" tint="-0.249977111117893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4" fillId="0" borderId="0"/>
    <xf numFmtId="164" fontId="1" fillId="0" borderId="0" applyFont="0" applyFill="0" applyBorder="0" applyAlignment="0" applyProtection="0"/>
  </cellStyleXfs>
  <cellXfs count="48">
    <xf numFmtId="0" fontId="0" fillId="0" borderId="0" xfId="0"/>
    <xf numFmtId="0" fontId="0" fillId="2" borderId="1" xfId="0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/>
    </xf>
    <xf numFmtId="165" fontId="0" fillId="2" borderId="1" xfId="0" applyNumberForma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166" fontId="0" fillId="2" borderId="0" xfId="0" applyNumberFormat="1" applyFill="1" applyAlignment="1">
      <alignment horizontal="center"/>
    </xf>
    <xf numFmtId="9" fontId="0" fillId="2" borderId="0" xfId="1" applyFont="1" applyFill="1" applyBorder="1" applyAlignment="1">
      <alignment horizontal="center"/>
    </xf>
    <xf numFmtId="1" fontId="0" fillId="2" borderId="0" xfId="0" applyNumberFormat="1" applyFill="1" applyAlignment="1">
      <alignment horizontal="center"/>
    </xf>
    <xf numFmtId="167" fontId="0" fillId="2" borderId="0" xfId="1" applyNumberFormat="1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2" fontId="2" fillId="3" borderId="2" xfId="0" applyNumberFormat="1" applyFont="1" applyFill="1" applyBorder="1" applyAlignment="1">
      <alignment horizontal="center"/>
    </xf>
    <xf numFmtId="2" fontId="0" fillId="2" borderId="3" xfId="0" applyNumberFormat="1" applyFill="1" applyBorder="1" applyAlignment="1">
      <alignment horizontal="center"/>
    </xf>
    <xf numFmtId="2" fontId="0" fillId="2" borderId="0" xfId="0" applyNumberFormat="1" applyFill="1" applyAlignment="1">
      <alignment horizontal="center"/>
    </xf>
    <xf numFmtId="0" fontId="0" fillId="2" borderId="7" xfId="0" applyFill="1" applyBorder="1" applyAlignment="1">
      <alignment horizontal="center"/>
    </xf>
    <xf numFmtId="2" fontId="2" fillId="3" borderId="7" xfId="0" applyNumberFormat="1" applyFont="1" applyFill="1" applyBorder="1" applyAlignment="1">
      <alignment horizontal="center"/>
    </xf>
    <xf numFmtId="2" fontId="0" fillId="2" borderId="8" xfId="0" applyNumberFormat="1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2" borderId="0" xfId="0" applyFont="1" applyFill="1" applyAlignment="1">
      <alignment horizontal="center" wrapText="1"/>
    </xf>
    <xf numFmtId="0" fontId="2" fillId="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2" borderId="8" xfId="0" applyFill="1" applyBorder="1" applyAlignment="1">
      <alignment horizontal="left"/>
    </xf>
    <xf numFmtId="0" fontId="0" fillId="0" borderId="4" xfId="0" applyBorder="1" applyAlignment="1">
      <alignment horizontal="center"/>
    </xf>
    <xf numFmtId="0" fontId="2" fillId="0" borderId="1" xfId="0" applyFont="1" applyBorder="1" applyAlignment="1">
      <alignment horizontal="center"/>
    </xf>
    <xf numFmtId="2" fontId="2" fillId="3" borderId="3" xfId="0" applyNumberFormat="1" applyFont="1" applyFill="1" applyBorder="1" applyAlignment="1">
      <alignment horizontal="center"/>
    </xf>
    <xf numFmtId="2" fontId="2" fillId="3" borderId="0" xfId="0" applyNumberFormat="1" applyFont="1" applyFill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2" fontId="2" fillId="3" borderId="9" xfId="0" applyNumberFormat="1" applyFont="1" applyFill="1" applyBorder="1" applyAlignment="1">
      <alignment horizontal="center"/>
    </xf>
    <xf numFmtId="2" fontId="0" fillId="3" borderId="6" xfId="0" applyNumberFormat="1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165" fontId="0" fillId="2" borderId="4" xfId="0" applyNumberFormat="1" applyFill="1" applyBorder="1" applyAlignment="1">
      <alignment horizontal="center"/>
    </xf>
    <xf numFmtId="2" fontId="2" fillId="3" borderId="11" xfId="0" applyNumberFormat="1" applyFont="1" applyFill="1" applyBorder="1" applyAlignment="1">
      <alignment horizontal="center"/>
    </xf>
    <xf numFmtId="165" fontId="0" fillId="2" borderId="12" xfId="0" applyNumberFormat="1" applyFill="1" applyBorder="1" applyAlignment="1">
      <alignment horizontal="center"/>
    </xf>
    <xf numFmtId="2" fontId="2" fillId="3" borderId="13" xfId="0" applyNumberFormat="1" applyFont="1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2" fontId="0" fillId="2" borderId="14" xfId="0" applyNumberFormat="1" applyFill="1" applyBorder="1" applyAlignment="1">
      <alignment horizontal="center"/>
    </xf>
  </cellXfs>
  <cellStyles count="4">
    <cellStyle name="Comma 2" xfId="3"/>
    <cellStyle name="Normal" xfId="0" builtinId="0"/>
    <cellStyle name="Normal 2" xfId="2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'WGO 2020'!$G$6</c:f>
              <c:strCache>
                <c:ptCount val="1"/>
                <c:pt idx="0">
                  <c:v>Rain (mm)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'WGO 2020'!$F$7:$F$18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'WGO 2020'!$G$7:$G$18</c:f>
              <c:numCache>
                <c:formatCode>0.0</c:formatCode>
                <c:ptCount val="12"/>
                <c:pt idx="0" formatCode="General">
                  <c:v>0</c:v>
                </c:pt>
                <c:pt idx="1">
                  <c:v>0</c:v>
                </c:pt>
                <c:pt idx="2" formatCode="0">
                  <c:v>7</c:v>
                </c:pt>
                <c:pt idx="3" formatCode="0">
                  <c:v>6.05</c:v>
                </c:pt>
                <c:pt idx="4" formatCode="0">
                  <c:v>119.9</c:v>
                </c:pt>
                <c:pt idx="5" formatCode="0">
                  <c:v>112.375</c:v>
                </c:pt>
                <c:pt idx="6" formatCode="0">
                  <c:v>258.125</c:v>
                </c:pt>
                <c:pt idx="7" formatCode="0">
                  <c:v>412.85</c:v>
                </c:pt>
                <c:pt idx="8" formatCode="0">
                  <c:v>190.1</c:v>
                </c:pt>
                <c:pt idx="9" formatCode="0">
                  <c:v>87.75</c:v>
                </c:pt>
                <c:pt idx="10" formatCode="0">
                  <c:v>0</c:v>
                </c:pt>
                <c:pt idx="11" formatCode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88-47F9-9A06-FC1064751FF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9528688"/>
        <c:axId val="139524336"/>
      </c:barChart>
      <c:lineChart>
        <c:grouping val="stacked"/>
        <c:varyColors val="0"/>
        <c:ser>
          <c:idx val="1"/>
          <c:order val="1"/>
          <c:tx>
            <c:strRef>
              <c:f>'WGO 2020'!$H$6</c:f>
              <c:strCache>
                <c:ptCount val="1"/>
                <c:pt idx="0">
                  <c:v>Number of Rainy Days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'WGO 2020'!$F$7:$F$18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'WGO 2020'!$H$7:$H$18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2</c:v>
                </c:pt>
                <c:pt idx="4">
                  <c:v>8</c:v>
                </c:pt>
                <c:pt idx="5">
                  <c:v>10</c:v>
                </c:pt>
                <c:pt idx="6">
                  <c:v>16</c:v>
                </c:pt>
                <c:pt idx="7">
                  <c:v>17</c:v>
                </c:pt>
                <c:pt idx="8">
                  <c:v>16</c:v>
                </c:pt>
                <c:pt idx="9">
                  <c:v>9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D88-47F9-9A06-FC1064751FF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39528144"/>
        <c:axId val="139526512"/>
      </c:lineChart>
      <c:catAx>
        <c:axId val="139528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9524336"/>
        <c:crosses val="autoZero"/>
        <c:auto val="1"/>
        <c:lblAlgn val="ctr"/>
        <c:lblOffset val="100"/>
        <c:noMultiLvlLbl val="0"/>
      </c:catAx>
      <c:valAx>
        <c:axId val="139524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1"/>
                  <a:t>Rainfall (mm/month)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9528688"/>
        <c:crosses val="autoZero"/>
        <c:crossBetween val="between"/>
      </c:valAx>
      <c:valAx>
        <c:axId val="139526512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Days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9528144"/>
        <c:crosses val="max"/>
        <c:crossBetween val="between"/>
      </c:valAx>
      <c:catAx>
        <c:axId val="13952814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3952651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'WGO 2020'!$C$1</c:f>
              <c:strCache>
                <c:ptCount val="1"/>
                <c:pt idx="0">
                  <c:v>Average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numRef>
              <c:f>'WGO 2020'!$B$2:$B$366</c:f>
              <c:numCache>
                <c:formatCode>[$-409]d\-mmm\-yy;@</c:formatCode>
                <c:ptCount val="365"/>
                <c:pt idx="0">
                  <c:v>43831</c:v>
                </c:pt>
                <c:pt idx="1">
                  <c:v>43832</c:v>
                </c:pt>
                <c:pt idx="2">
                  <c:v>43833</c:v>
                </c:pt>
                <c:pt idx="3">
                  <c:v>43834</c:v>
                </c:pt>
                <c:pt idx="4">
                  <c:v>43835</c:v>
                </c:pt>
                <c:pt idx="5">
                  <c:v>43836</c:v>
                </c:pt>
                <c:pt idx="6">
                  <c:v>43837</c:v>
                </c:pt>
                <c:pt idx="7">
                  <c:v>43838</c:v>
                </c:pt>
                <c:pt idx="8">
                  <c:v>43839</c:v>
                </c:pt>
                <c:pt idx="9">
                  <c:v>43840</c:v>
                </c:pt>
                <c:pt idx="10">
                  <c:v>43841</c:v>
                </c:pt>
                <c:pt idx="11">
                  <c:v>43842</c:v>
                </c:pt>
                <c:pt idx="12">
                  <c:v>43843</c:v>
                </c:pt>
                <c:pt idx="13">
                  <c:v>43844</c:v>
                </c:pt>
                <c:pt idx="14">
                  <c:v>43845</c:v>
                </c:pt>
                <c:pt idx="15">
                  <c:v>43846</c:v>
                </c:pt>
                <c:pt idx="16">
                  <c:v>43847</c:v>
                </c:pt>
                <c:pt idx="17">
                  <c:v>43848</c:v>
                </c:pt>
                <c:pt idx="18">
                  <c:v>43849</c:v>
                </c:pt>
                <c:pt idx="19">
                  <c:v>43850</c:v>
                </c:pt>
                <c:pt idx="20">
                  <c:v>43851</c:v>
                </c:pt>
                <c:pt idx="21">
                  <c:v>43852</c:v>
                </c:pt>
                <c:pt idx="22">
                  <c:v>43853</c:v>
                </c:pt>
                <c:pt idx="23">
                  <c:v>43854</c:v>
                </c:pt>
                <c:pt idx="24">
                  <c:v>43855</c:v>
                </c:pt>
                <c:pt idx="25">
                  <c:v>43856</c:v>
                </c:pt>
                <c:pt idx="26">
                  <c:v>43857</c:v>
                </c:pt>
                <c:pt idx="27">
                  <c:v>43858</c:v>
                </c:pt>
                <c:pt idx="28">
                  <c:v>43859</c:v>
                </c:pt>
                <c:pt idx="29">
                  <c:v>43860</c:v>
                </c:pt>
                <c:pt idx="30">
                  <c:v>43861</c:v>
                </c:pt>
                <c:pt idx="31">
                  <c:v>43862</c:v>
                </c:pt>
                <c:pt idx="32">
                  <c:v>43863</c:v>
                </c:pt>
                <c:pt idx="33">
                  <c:v>43864</c:v>
                </c:pt>
                <c:pt idx="34">
                  <c:v>43865</c:v>
                </c:pt>
                <c:pt idx="35">
                  <c:v>43866</c:v>
                </c:pt>
                <c:pt idx="36">
                  <c:v>43867</c:v>
                </c:pt>
                <c:pt idx="37">
                  <c:v>43868</c:v>
                </c:pt>
                <c:pt idx="38">
                  <c:v>43869</c:v>
                </c:pt>
                <c:pt idx="39">
                  <c:v>43870</c:v>
                </c:pt>
                <c:pt idx="40">
                  <c:v>43871</c:v>
                </c:pt>
                <c:pt idx="41">
                  <c:v>43872</c:v>
                </c:pt>
                <c:pt idx="42">
                  <c:v>43873</c:v>
                </c:pt>
                <c:pt idx="43">
                  <c:v>43874</c:v>
                </c:pt>
                <c:pt idx="44">
                  <c:v>43875</c:v>
                </c:pt>
                <c:pt idx="45">
                  <c:v>43876</c:v>
                </c:pt>
                <c:pt idx="46">
                  <c:v>43877</c:v>
                </c:pt>
                <c:pt idx="47">
                  <c:v>43878</c:v>
                </c:pt>
                <c:pt idx="48">
                  <c:v>43879</c:v>
                </c:pt>
                <c:pt idx="49">
                  <c:v>43880</c:v>
                </c:pt>
                <c:pt idx="50">
                  <c:v>43881</c:v>
                </c:pt>
                <c:pt idx="51">
                  <c:v>43882</c:v>
                </c:pt>
                <c:pt idx="52">
                  <c:v>43883</c:v>
                </c:pt>
                <c:pt idx="53">
                  <c:v>43884</c:v>
                </c:pt>
                <c:pt idx="54">
                  <c:v>43885</c:v>
                </c:pt>
                <c:pt idx="55">
                  <c:v>43886</c:v>
                </c:pt>
                <c:pt idx="56">
                  <c:v>43887</c:v>
                </c:pt>
                <c:pt idx="57">
                  <c:v>43888</c:v>
                </c:pt>
                <c:pt idx="58">
                  <c:v>43889</c:v>
                </c:pt>
                <c:pt idx="59">
                  <c:v>43890</c:v>
                </c:pt>
                <c:pt idx="60">
                  <c:v>43891</c:v>
                </c:pt>
                <c:pt idx="61">
                  <c:v>43892</c:v>
                </c:pt>
                <c:pt idx="62">
                  <c:v>43893</c:v>
                </c:pt>
                <c:pt idx="63">
                  <c:v>43894</c:v>
                </c:pt>
                <c:pt idx="64">
                  <c:v>43895</c:v>
                </c:pt>
                <c:pt idx="65">
                  <c:v>43896</c:v>
                </c:pt>
                <c:pt idx="66">
                  <c:v>43897</c:v>
                </c:pt>
                <c:pt idx="67">
                  <c:v>43898</c:v>
                </c:pt>
                <c:pt idx="68">
                  <c:v>43899</c:v>
                </c:pt>
                <c:pt idx="69">
                  <c:v>43900</c:v>
                </c:pt>
                <c:pt idx="70">
                  <c:v>43901</c:v>
                </c:pt>
                <c:pt idx="71">
                  <c:v>43902</c:v>
                </c:pt>
                <c:pt idx="72">
                  <c:v>43903</c:v>
                </c:pt>
                <c:pt idx="73">
                  <c:v>43904</c:v>
                </c:pt>
                <c:pt idx="74">
                  <c:v>43905</c:v>
                </c:pt>
                <c:pt idx="75">
                  <c:v>43906</c:v>
                </c:pt>
                <c:pt idx="76">
                  <c:v>43907</c:v>
                </c:pt>
                <c:pt idx="77">
                  <c:v>43908</c:v>
                </c:pt>
                <c:pt idx="78">
                  <c:v>43909</c:v>
                </c:pt>
                <c:pt idx="79">
                  <c:v>43910</c:v>
                </c:pt>
                <c:pt idx="80">
                  <c:v>43911</c:v>
                </c:pt>
                <c:pt idx="81">
                  <c:v>43912</c:v>
                </c:pt>
                <c:pt idx="82">
                  <c:v>43913</c:v>
                </c:pt>
                <c:pt idx="83">
                  <c:v>43914</c:v>
                </c:pt>
                <c:pt idx="84">
                  <c:v>43915</c:v>
                </c:pt>
                <c:pt idx="85">
                  <c:v>43916</c:v>
                </c:pt>
                <c:pt idx="86">
                  <c:v>43917</c:v>
                </c:pt>
                <c:pt idx="87">
                  <c:v>43918</c:v>
                </c:pt>
                <c:pt idx="88">
                  <c:v>43919</c:v>
                </c:pt>
                <c:pt idx="89">
                  <c:v>43920</c:v>
                </c:pt>
                <c:pt idx="90">
                  <c:v>43921</c:v>
                </c:pt>
                <c:pt idx="91">
                  <c:v>43922</c:v>
                </c:pt>
                <c:pt idx="92">
                  <c:v>43923</c:v>
                </c:pt>
                <c:pt idx="93">
                  <c:v>43924</c:v>
                </c:pt>
                <c:pt idx="94">
                  <c:v>43925</c:v>
                </c:pt>
                <c:pt idx="95">
                  <c:v>43926</c:v>
                </c:pt>
                <c:pt idx="96">
                  <c:v>43927</c:v>
                </c:pt>
                <c:pt idx="97">
                  <c:v>43928</c:v>
                </c:pt>
                <c:pt idx="98">
                  <c:v>43929</c:v>
                </c:pt>
                <c:pt idx="99">
                  <c:v>43930</c:v>
                </c:pt>
                <c:pt idx="100">
                  <c:v>43931</c:v>
                </c:pt>
                <c:pt idx="101">
                  <c:v>43932</c:v>
                </c:pt>
                <c:pt idx="102">
                  <c:v>43933</c:v>
                </c:pt>
                <c:pt idx="103">
                  <c:v>43934</c:v>
                </c:pt>
                <c:pt idx="104">
                  <c:v>43935</c:v>
                </c:pt>
                <c:pt idx="105">
                  <c:v>43936</c:v>
                </c:pt>
                <c:pt idx="106">
                  <c:v>43937</c:v>
                </c:pt>
                <c:pt idx="107">
                  <c:v>43938</c:v>
                </c:pt>
                <c:pt idx="108">
                  <c:v>43939</c:v>
                </c:pt>
                <c:pt idx="109">
                  <c:v>43940</c:v>
                </c:pt>
                <c:pt idx="110">
                  <c:v>43941</c:v>
                </c:pt>
                <c:pt idx="111">
                  <c:v>43942</c:v>
                </c:pt>
                <c:pt idx="112">
                  <c:v>43943</c:v>
                </c:pt>
                <c:pt idx="113">
                  <c:v>43944</c:v>
                </c:pt>
                <c:pt idx="114">
                  <c:v>43945</c:v>
                </c:pt>
                <c:pt idx="115">
                  <c:v>43946</c:v>
                </c:pt>
                <c:pt idx="116">
                  <c:v>43947</c:v>
                </c:pt>
                <c:pt idx="117">
                  <c:v>43948</c:v>
                </c:pt>
                <c:pt idx="118">
                  <c:v>43949</c:v>
                </c:pt>
                <c:pt idx="119">
                  <c:v>43950</c:v>
                </c:pt>
                <c:pt idx="120">
                  <c:v>43951</c:v>
                </c:pt>
                <c:pt idx="121">
                  <c:v>43952</c:v>
                </c:pt>
                <c:pt idx="122">
                  <c:v>43953</c:v>
                </c:pt>
                <c:pt idx="123">
                  <c:v>43954</c:v>
                </c:pt>
                <c:pt idx="124">
                  <c:v>43955</c:v>
                </c:pt>
                <c:pt idx="125">
                  <c:v>43956</c:v>
                </c:pt>
                <c:pt idx="126">
                  <c:v>43957</c:v>
                </c:pt>
                <c:pt idx="127">
                  <c:v>43958</c:v>
                </c:pt>
                <c:pt idx="128">
                  <c:v>43959</c:v>
                </c:pt>
                <c:pt idx="129">
                  <c:v>43960</c:v>
                </c:pt>
                <c:pt idx="130">
                  <c:v>43961</c:v>
                </c:pt>
                <c:pt idx="131">
                  <c:v>43962</c:v>
                </c:pt>
                <c:pt idx="132">
                  <c:v>43963</c:v>
                </c:pt>
                <c:pt idx="133">
                  <c:v>43964</c:v>
                </c:pt>
                <c:pt idx="134">
                  <c:v>43965</c:v>
                </c:pt>
                <c:pt idx="135">
                  <c:v>43966</c:v>
                </c:pt>
                <c:pt idx="136">
                  <c:v>43967</c:v>
                </c:pt>
                <c:pt idx="137">
                  <c:v>43968</c:v>
                </c:pt>
                <c:pt idx="138">
                  <c:v>43969</c:v>
                </c:pt>
                <c:pt idx="139">
                  <c:v>43970</c:v>
                </c:pt>
                <c:pt idx="140">
                  <c:v>43971</c:v>
                </c:pt>
                <c:pt idx="141">
                  <c:v>43972</c:v>
                </c:pt>
                <c:pt idx="142">
                  <c:v>43973</c:v>
                </c:pt>
                <c:pt idx="143">
                  <c:v>43974</c:v>
                </c:pt>
                <c:pt idx="144">
                  <c:v>43975</c:v>
                </c:pt>
                <c:pt idx="145">
                  <c:v>43976</c:v>
                </c:pt>
                <c:pt idx="146">
                  <c:v>43977</c:v>
                </c:pt>
                <c:pt idx="147">
                  <c:v>43978</c:v>
                </c:pt>
                <c:pt idx="148">
                  <c:v>43979</c:v>
                </c:pt>
                <c:pt idx="149">
                  <c:v>43980</c:v>
                </c:pt>
                <c:pt idx="150">
                  <c:v>43981</c:v>
                </c:pt>
                <c:pt idx="151">
                  <c:v>43982</c:v>
                </c:pt>
                <c:pt idx="152">
                  <c:v>43983</c:v>
                </c:pt>
                <c:pt idx="153">
                  <c:v>43984</c:v>
                </c:pt>
                <c:pt idx="154">
                  <c:v>43985</c:v>
                </c:pt>
                <c:pt idx="155">
                  <c:v>43986</c:v>
                </c:pt>
                <c:pt idx="156">
                  <c:v>43987</c:v>
                </c:pt>
                <c:pt idx="157">
                  <c:v>43988</c:v>
                </c:pt>
                <c:pt idx="158">
                  <c:v>43989</c:v>
                </c:pt>
                <c:pt idx="159">
                  <c:v>43990</c:v>
                </c:pt>
                <c:pt idx="160">
                  <c:v>43991</c:v>
                </c:pt>
                <c:pt idx="161">
                  <c:v>43992</c:v>
                </c:pt>
                <c:pt idx="162">
                  <c:v>43993</c:v>
                </c:pt>
                <c:pt idx="163">
                  <c:v>43994</c:v>
                </c:pt>
                <c:pt idx="164">
                  <c:v>43995</c:v>
                </c:pt>
                <c:pt idx="165">
                  <c:v>43996</c:v>
                </c:pt>
                <c:pt idx="166">
                  <c:v>43997</c:v>
                </c:pt>
                <c:pt idx="167">
                  <c:v>43998</c:v>
                </c:pt>
                <c:pt idx="168">
                  <c:v>43999</c:v>
                </c:pt>
                <c:pt idx="169">
                  <c:v>44000</c:v>
                </c:pt>
                <c:pt idx="170">
                  <c:v>44001</c:v>
                </c:pt>
                <c:pt idx="171">
                  <c:v>44002</c:v>
                </c:pt>
                <c:pt idx="172">
                  <c:v>44003</c:v>
                </c:pt>
                <c:pt idx="173">
                  <c:v>44004</c:v>
                </c:pt>
                <c:pt idx="174">
                  <c:v>44005</c:v>
                </c:pt>
                <c:pt idx="175">
                  <c:v>44006</c:v>
                </c:pt>
                <c:pt idx="176">
                  <c:v>44007</c:v>
                </c:pt>
                <c:pt idx="177">
                  <c:v>44008</c:v>
                </c:pt>
                <c:pt idx="178">
                  <c:v>44009</c:v>
                </c:pt>
                <c:pt idx="179">
                  <c:v>44010</c:v>
                </c:pt>
                <c:pt idx="180">
                  <c:v>44011</c:v>
                </c:pt>
                <c:pt idx="181">
                  <c:v>44012</c:v>
                </c:pt>
                <c:pt idx="182">
                  <c:v>44013</c:v>
                </c:pt>
                <c:pt idx="183">
                  <c:v>44014</c:v>
                </c:pt>
                <c:pt idx="184">
                  <c:v>44015</c:v>
                </c:pt>
                <c:pt idx="185">
                  <c:v>44016</c:v>
                </c:pt>
                <c:pt idx="186">
                  <c:v>44017</c:v>
                </c:pt>
                <c:pt idx="187">
                  <c:v>44018</c:v>
                </c:pt>
                <c:pt idx="188">
                  <c:v>44019</c:v>
                </c:pt>
                <c:pt idx="189">
                  <c:v>44020</c:v>
                </c:pt>
                <c:pt idx="190">
                  <c:v>44021</c:v>
                </c:pt>
                <c:pt idx="191">
                  <c:v>44022</c:v>
                </c:pt>
                <c:pt idx="192">
                  <c:v>44023</c:v>
                </c:pt>
                <c:pt idx="193">
                  <c:v>44024</c:v>
                </c:pt>
                <c:pt idx="194">
                  <c:v>44025</c:v>
                </c:pt>
                <c:pt idx="195">
                  <c:v>44026</c:v>
                </c:pt>
                <c:pt idx="196">
                  <c:v>44027</c:v>
                </c:pt>
                <c:pt idx="197">
                  <c:v>44028</c:v>
                </c:pt>
                <c:pt idx="198">
                  <c:v>44029</c:v>
                </c:pt>
                <c:pt idx="199">
                  <c:v>44030</c:v>
                </c:pt>
                <c:pt idx="200">
                  <c:v>44031</c:v>
                </c:pt>
                <c:pt idx="201">
                  <c:v>44032</c:v>
                </c:pt>
                <c:pt idx="202">
                  <c:v>44033</c:v>
                </c:pt>
                <c:pt idx="203">
                  <c:v>44034</c:v>
                </c:pt>
                <c:pt idx="204">
                  <c:v>44035</c:v>
                </c:pt>
                <c:pt idx="205">
                  <c:v>44036</c:v>
                </c:pt>
                <c:pt idx="206">
                  <c:v>44037</c:v>
                </c:pt>
                <c:pt idx="207">
                  <c:v>44038</c:v>
                </c:pt>
                <c:pt idx="208">
                  <c:v>44039</c:v>
                </c:pt>
                <c:pt idx="209">
                  <c:v>44040</c:v>
                </c:pt>
                <c:pt idx="210">
                  <c:v>44041</c:v>
                </c:pt>
                <c:pt idx="211">
                  <c:v>44042</c:v>
                </c:pt>
                <c:pt idx="212">
                  <c:v>44043</c:v>
                </c:pt>
                <c:pt idx="213">
                  <c:v>44044</c:v>
                </c:pt>
                <c:pt idx="214">
                  <c:v>44045</c:v>
                </c:pt>
                <c:pt idx="215">
                  <c:v>44046</c:v>
                </c:pt>
                <c:pt idx="216">
                  <c:v>44047</c:v>
                </c:pt>
                <c:pt idx="217">
                  <c:v>44048</c:v>
                </c:pt>
                <c:pt idx="218">
                  <c:v>44049</c:v>
                </c:pt>
                <c:pt idx="219">
                  <c:v>44050</c:v>
                </c:pt>
                <c:pt idx="220">
                  <c:v>44051</c:v>
                </c:pt>
                <c:pt idx="221">
                  <c:v>44052</c:v>
                </c:pt>
                <c:pt idx="222">
                  <c:v>44053</c:v>
                </c:pt>
                <c:pt idx="223">
                  <c:v>44054</c:v>
                </c:pt>
                <c:pt idx="224">
                  <c:v>44055</c:v>
                </c:pt>
                <c:pt idx="225">
                  <c:v>44056</c:v>
                </c:pt>
                <c:pt idx="226">
                  <c:v>44057</c:v>
                </c:pt>
                <c:pt idx="227">
                  <c:v>44058</c:v>
                </c:pt>
                <c:pt idx="228">
                  <c:v>44059</c:v>
                </c:pt>
                <c:pt idx="229">
                  <c:v>44060</c:v>
                </c:pt>
                <c:pt idx="230">
                  <c:v>44061</c:v>
                </c:pt>
                <c:pt idx="231">
                  <c:v>44062</c:v>
                </c:pt>
                <c:pt idx="232">
                  <c:v>44063</c:v>
                </c:pt>
                <c:pt idx="233">
                  <c:v>44064</c:v>
                </c:pt>
                <c:pt idx="234">
                  <c:v>44065</c:v>
                </c:pt>
                <c:pt idx="235">
                  <c:v>44066</c:v>
                </c:pt>
                <c:pt idx="236">
                  <c:v>44067</c:v>
                </c:pt>
                <c:pt idx="237">
                  <c:v>44068</c:v>
                </c:pt>
                <c:pt idx="238">
                  <c:v>44069</c:v>
                </c:pt>
                <c:pt idx="239">
                  <c:v>44070</c:v>
                </c:pt>
                <c:pt idx="240">
                  <c:v>44071</c:v>
                </c:pt>
                <c:pt idx="241">
                  <c:v>44072</c:v>
                </c:pt>
                <c:pt idx="242">
                  <c:v>44073</c:v>
                </c:pt>
                <c:pt idx="243">
                  <c:v>44074</c:v>
                </c:pt>
                <c:pt idx="244">
                  <c:v>44075</c:v>
                </c:pt>
                <c:pt idx="245">
                  <c:v>44076</c:v>
                </c:pt>
                <c:pt idx="246">
                  <c:v>44077</c:v>
                </c:pt>
                <c:pt idx="247">
                  <c:v>44078</c:v>
                </c:pt>
                <c:pt idx="248">
                  <c:v>44079</c:v>
                </c:pt>
                <c:pt idx="249">
                  <c:v>44080</c:v>
                </c:pt>
                <c:pt idx="250">
                  <c:v>44081</c:v>
                </c:pt>
                <c:pt idx="251">
                  <c:v>44082</c:v>
                </c:pt>
                <c:pt idx="252">
                  <c:v>44083</c:v>
                </c:pt>
                <c:pt idx="253">
                  <c:v>44084</c:v>
                </c:pt>
                <c:pt idx="254">
                  <c:v>44085</c:v>
                </c:pt>
                <c:pt idx="255">
                  <c:v>44086</c:v>
                </c:pt>
                <c:pt idx="256">
                  <c:v>44087</c:v>
                </c:pt>
                <c:pt idx="257">
                  <c:v>44088</c:v>
                </c:pt>
                <c:pt idx="258">
                  <c:v>44089</c:v>
                </c:pt>
                <c:pt idx="259">
                  <c:v>44090</c:v>
                </c:pt>
                <c:pt idx="260">
                  <c:v>44091</c:v>
                </c:pt>
                <c:pt idx="261">
                  <c:v>44092</c:v>
                </c:pt>
                <c:pt idx="262">
                  <c:v>44093</c:v>
                </c:pt>
                <c:pt idx="263">
                  <c:v>44094</c:v>
                </c:pt>
                <c:pt idx="264">
                  <c:v>44095</c:v>
                </c:pt>
                <c:pt idx="265">
                  <c:v>44096</c:v>
                </c:pt>
                <c:pt idx="266">
                  <c:v>44097</c:v>
                </c:pt>
                <c:pt idx="267">
                  <c:v>44098</c:v>
                </c:pt>
                <c:pt idx="268">
                  <c:v>44099</c:v>
                </c:pt>
                <c:pt idx="269">
                  <c:v>44100</c:v>
                </c:pt>
                <c:pt idx="270">
                  <c:v>44101</c:v>
                </c:pt>
                <c:pt idx="271">
                  <c:v>44102</c:v>
                </c:pt>
                <c:pt idx="272">
                  <c:v>44103</c:v>
                </c:pt>
                <c:pt idx="273">
                  <c:v>44104</c:v>
                </c:pt>
                <c:pt idx="274">
                  <c:v>44105</c:v>
                </c:pt>
                <c:pt idx="275">
                  <c:v>44106</c:v>
                </c:pt>
                <c:pt idx="276">
                  <c:v>44107</c:v>
                </c:pt>
                <c:pt idx="277">
                  <c:v>44108</c:v>
                </c:pt>
                <c:pt idx="278">
                  <c:v>44109</c:v>
                </c:pt>
                <c:pt idx="279">
                  <c:v>44110</c:v>
                </c:pt>
                <c:pt idx="280">
                  <c:v>44111</c:v>
                </c:pt>
                <c:pt idx="281">
                  <c:v>44112</c:v>
                </c:pt>
                <c:pt idx="282">
                  <c:v>44113</c:v>
                </c:pt>
                <c:pt idx="283">
                  <c:v>44114</c:v>
                </c:pt>
                <c:pt idx="284">
                  <c:v>44115</c:v>
                </c:pt>
                <c:pt idx="285">
                  <c:v>44116</c:v>
                </c:pt>
                <c:pt idx="286">
                  <c:v>44117</c:v>
                </c:pt>
                <c:pt idx="287">
                  <c:v>44118</c:v>
                </c:pt>
                <c:pt idx="288">
                  <c:v>44119</c:v>
                </c:pt>
                <c:pt idx="289">
                  <c:v>44120</c:v>
                </c:pt>
                <c:pt idx="290">
                  <c:v>44121</c:v>
                </c:pt>
                <c:pt idx="291">
                  <c:v>44122</c:v>
                </c:pt>
                <c:pt idx="292">
                  <c:v>44123</c:v>
                </c:pt>
                <c:pt idx="293">
                  <c:v>44124</c:v>
                </c:pt>
                <c:pt idx="294">
                  <c:v>44125</c:v>
                </c:pt>
                <c:pt idx="295">
                  <c:v>44126</c:v>
                </c:pt>
                <c:pt idx="296">
                  <c:v>44127</c:v>
                </c:pt>
                <c:pt idx="297">
                  <c:v>44128</c:v>
                </c:pt>
                <c:pt idx="298">
                  <c:v>44129</c:v>
                </c:pt>
                <c:pt idx="299">
                  <c:v>44130</c:v>
                </c:pt>
                <c:pt idx="300">
                  <c:v>44131</c:v>
                </c:pt>
                <c:pt idx="301">
                  <c:v>44132</c:v>
                </c:pt>
                <c:pt idx="302">
                  <c:v>44133</c:v>
                </c:pt>
                <c:pt idx="303">
                  <c:v>44134</c:v>
                </c:pt>
                <c:pt idx="304">
                  <c:v>44135</c:v>
                </c:pt>
                <c:pt idx="305">
                  <c:v>44136</c:v>
                </c:pt>
                <c:pt idx="306">
                  <c:v>44137</c:v>
                </c:pt>
                <c:pt idx="307">
                  <c:v>44138</c:v>
                </c:pt>
                <c:pt idx="308">
                  <c:v>44139</c:v>
                </c:pt>
                <c:pt idx="309">
                  <c:v>44140</c:v>
                </c:pt>
                <c:pt idx="310">
                  <c:v>44141</c:v>
                </c:pt>
                <c:pt idx="311">
                  <c:v>44142</c:v>
                </c:pt>
                <c:pt idx="312">
                  <c:v>44143</c:v>
                </c:pt>
                <c:pt idx="313">
                  <c:v>44144</c:v>
                </c:pt>
                <c:pt idx="314">
                  <c:v>44145</c:v>
                </c:pt>
                <c:pt idx="315">
                  <c:v>44146</c:v>
                </c:pt>
                <c:pt idx="316">
                  <c:v>44147</c:v>
                </c:pt>
                <c:pt idx="317">
                  <c:v>44148</c:v>
                </c:pt>
                <c:pt idx="318">
                  <c:v>44149</c:v>
                </c:pt>
                <c:pt idx="319">
                  <c:v>44150</c:v>
                </c:pt>
                <c:pt idx="320">
                  <c:v>44151</c:v>
                </c:pt>
                <c:pt idx="321">
                  <c:v>44152</c:v>
                </c:pt>
                <c:pt idx="322">
                  <c:v>44153</c:v>
                </c:pt>
                <c:pt idx="323">
                  <c:v>44154</c:v>
                </c:pt>
                <c:pt idx="324">
                  <c:v>44155</c:v>
                </c:pt>
                <c:pt idx="325">
                  <c:v>44156</c:v>
                </c:pt>
                <c:pt idx="326">
                  <c:v>44157</c:v>
                </c:pt>
                <c:pt idx="327">
                  <c:v>44158</c:v>
                </c:pt>
                <c:pt idx="328">
                  <c:v>44159</c:v>
                </c:pt>
                <c:pt idx="329">
                  <c:v>44160</c:v>
                </c:pt>
                <c:pt idx="330">
                  <c:v>44161</c:v>
                </c:pt>
                <c:pt idx="331">
                  <c:v>44162</c:v>
                </c:pt>
                <c:pt idx="332">
                  <c:v>44163</c:v>
                </c:pt>
                <c:pt idx="333">
                  <c:v>44164</c:v>
                </c:pt>
                <c:pt idx="334">
                  <c:v>44165</c:v>
                </c:pt>
                <c:pt idx="335">
                  <c:v>44166</c:v>
                </c:pt>
                <c:pt idx="336">
                  <c:v>44167</c:v>
                </c:pt>
                <c:pt idx="337">
                  <c:v>44168</c:v>
                </c:pt>
                <c:pt idx="338">
                  <c:v>44169</c:v>
                </c:pt>
                <c:pt idx="339">
                  <c:v>44170</c:v>
                </c:pt>
                <c:pt idx="340">
                  <c:v>44171</c:v>
                </c:pt>
                <c:pt idx="341">
                  <c:v>44172</c:v>
                </c:pt>
                <c:pt idx="342">
                  <c:v>44173</c:v>
                </c:pt>
                <c:pt idx="343">
                  <c:v>44174</c:v>
                </c:pt>
                <c:pt idx="344">
                  <c:v>44175</c:v>
                </c:pt>
                <c:pt idx="345">
                  <c:v>44176</c:v>
                </c:pt>
                <c:pt idx="346">
                  <c:v>44177</c:v>
                </c:pt>
                <c:pt idx="347">
                  <c:v>44178</c:v>
                </c:pt>
                <c:pt idx="348">
                  <c:v>44179</c:v>
                </c:pt>
                <c:pt idx="349">
                  <c:v>44180</c:v>
                </c:pt>
                <c:pt idx="350">
                  <c:v>44181</c:v>
                </c:pt>
                <c:pt idx="351">
                  <c:v>44182</c:v>
                </c:pt>
                <c:pt idx="352">
                  <c:v>44183</c:v>
                </c:pt>
                <c:pt idx="353">
                  <c:v>44184</c:v>
                </c:pt>
                <c:pt idx="354">
                  <c:v>44185</c:v>
                </c:pt>
                <c:pt idx="355">
                  <c:v>44186</c:v>
                </c:pt>
                <c:pt idx="356">
                  <c:v>44187</c:v>
                </c:pt>
                <c:pt idx="357">
                  <c:v>44188</c:v>
                </c:pt>
                <c:pt idx="358">
                  <c:v>44189</c:v>
                </c:pt>
                <c:pt idx="359">
                  <c:v>44190</c:v>
                </c:pt>
                <c:pt idx="360">
                  <c:v>44191</c:v>
                </c:pt>
                <c:pt idx="361">
                  <c:v>44192</c:v>
                </c:pt>
                <c:pt idx="362">
                  <c:v>44193</c:v>
                </c:pt>
                <c:pt idx="363">
                  <c:v>44194</c:v>
                </c:pt>
                <c:pt idx="364">
                  <c:v>44195</c:v>
                </c:pt>
              </c:numCache>
            </c:numRef>
          </c:cat>
          <c:val>
            <c:numRef>
              <c:f>'WGO 2020'!$C$2:$C$366</c:f>
              <c:numCache>
                <c:formatCode>General</c:formatCode>
                <c:ptCount val="3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5.25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 formatCode="0.00">
                  <c:v>1.75</c:v>
                </c:pt>
                <c:pt idx="89" formatCode="0.00">
                  <c:v>0</c:v>
                </c:pt>
                <c:pt idx="90" formatCode="0.00">
                  <c:v>0</c:v>
                </c:pt>
                <c:pt idx="91" formatCode="0.00">
                  <c:v>0</c:v>
                </c:pt>
                <c:pt idx="92" formatCode="0.00">
                  <c:v>0</c:v>
                </c:pt>
                <c:pt idx="93" formatCode="0.00">
                  <c:v>0</c:v>
                </c:pt>
                <c:pt idx="94" formatCode="0.00">
                  <c:v>0</c:v>
                </c:pt>
                <c:pt idx="95" formatCode="0.00">
                  <c:v>0</c:v>
                </c:pt>
                <c:pt idx="96" formatCode="0.00">
                  <c:v>0</c:v>
                </c:pt>
                <c:pt idx="97" formatCode="0.00">
                  <c:v>0</c:v>
                </c:pt>
                <c:pt idx="98" formatCode="0.00">
                  <c:v>1.55</c:v>
                </c:pt>
                <c:pt idx="99" formatCode="0.00">
                  <c:v>0</c:v>
                </c:pt>
                <c:pt idx="100" formatCode="0.00">
                  <c:v>0</c:v>
                </c:pt>
                <c:pt idx="101" formatCode="0.00">
                  <c:v>0</c:v>
                </c:pt>
                <c:pt idx="102" formatCode="0.00">
                  <c:v>0</c:v>
                </c:pt>
                <c:pt idx="103" formatCode="0.00">
                  <c:v>0</c:v>
                </c:pt>
                <c:pt idx="104" formatCode="0.00">
                  <c:v>0</c:v>
                </c:pt>
                <c:pt idx="105" formatCode="0.00">
                  <c:v>0</c:v>
                </c:pt>
                <c:pt idx="106" formatCode="0.00">
                  <c:v>0</c:v>
                </c:pt>
                <c:pt idx="107" formatCode="0.00">
                  <c:v>0</c:v>
                </c:pt>
                <c:pt idx="108" formatCode="0.00">
                  <c:v>0</c:v>
                </c:pt>
                <c:pt idx="109" formatCode="0.00">
                  <c:v>0</c:v>
                </c:pt>
                <c:pt idx="110" formatCode="0.00">
                  <c:v>4.5</c:v>
                </c:pt>
                <c:pt idx="111" formatCode="0.00">
                  <c:v>0</c:v>
                </c:pt>
                <c:pt idx="112" formatCode="0.00">
                  <c:v>0</c:v>
                </c:pt>
                <c:pt idx="113" formatCode="0.00">
                  <c:v>0</c:v>
                </c:pt>
                <c:pt idx="114" formatCode="0.00">
                  <c:v>0</c:v>
                </c:pt>
                <c:pt idx="115" formatCode="0.00">
                  <c:v>0</c:v>
                </c:pt>
                <c:pt idx="116" formatCode="0.00">
                  <c:v>0</c:v>
                </c:pt>
                <c:pt idx="117" formatCode="0.00">
                  <c:v>0</c:v>
                </c:pt>
                <c:pt idx="118" formatCode="0.00">
                  <c:v>0</c:v>
                </c:pt>
                <c:pt idx="119" formatCode="0.00">
                  <c:v>0</c:v>
                </c:pt>
                <c:pt idx="120" formatCode="0.00">
                  <c:v>0</c:v>
                </c:pt>
                <c:pt idx="121" formatCode="0.00">
                  <c:v>0</c:v>
                </c:pt>
                <c:pt idx="122" formatCode="0.00">
                  <c:v>0</c:v>
                </c:pt>
                <c:pt idx="123" formatCode="0.00">
                  <c:v>0</c:v>
                </c:pt>
                <c:pt idx="124" formatCode="0.00">
                  <c:v>27.75</c:v>
                </c:pt>
                <c:pt idx="125" formatCode="0.00">
                  <c:v>0</c:v>
                </c:pt>
                <c:pt idx="126" formatCode="0.00">
                  <c:v>18.75</c:v>
                </c:pt>
                <c:pt idx="127" formatCode="0.00">
                  <c:v>0</c:v>
                </c:pt>
                <c:pt idx="128" formatCode="0.00">
                  <c:v>0</c:v>
                </c:pt>
                <c:pt idx="129" formatCode="0.00">
                  <c:v>0</c:v>
                </c:pt>
                <c:pt idx="130" formatCode="0.00">
                  <c:v>3.75</c:v>
                </c:pt>
                <c:pt idx="131" formatCode="0.00">
                  <c:v>0</c:v>
                </c:pt>
                <c:pt idx="132" formatCode="0.00">
                  <c:v>0</c:v>
                </c:pt>
                <c:pt idx="133" formatCode="0.00">
                  <c:v>0</c:v>
                </c:pt>
                <c:pt idx="134" formatCode="0.00">
                  <c:v>13.65</c:v>
                </c:pt>
                <c:pt idx="135" formatCode="0.00">
                  <c:v>0</c:v>
                </c:pt>
                <c:pt idx="136" formatCode="0.00">
                  <c:v>0</c:v>
                </c:pt>
                <c:pt idx="137" formatCode="0.00">
                  <c:v>0</c:v>
                </c:pt>
                <c:pt idx="138" formatCode="0.00">
                  <c:v>0</c:v>
                </c:pt>
                <c:pt idx="139" formatCode="0.00">
                  <c:v>14.5</c:v>
                </c:pt>
                <c:pt idx="140" formatCode="0.00">
                  <c:v>0</c:v>
                </c:pt>
                <c:pt idx="141" formatCode="0.00">
                  <c:v>0</c:v>
                </c:pt>
                <c:pt idx="142" formatCode="0.00">
                  <c:v>0</c:v>
                </c:pt>
                <c:pt idx="143" formatCode="0.00">
                  <c:v>1</c:v>
                </c:pt>
                <c:pt idx="144" formatCode="0.00">
                  <c:v>0</c:v>
                </c:pt>
                <c:pt idx="145" formatCode="0.00">
                  <c:v>0</c:v>
                </c:pt>
                <c:pt idx="146" formatCode="0.00">
                  <c:v>0</c:v>
                </c:pt>
                <c:pt idx="147" formatCode="0.00">
                  <c:v>22</c:v>
                </c:pt>
                <c:pt idx="148" formatCode="0.00">
                  <c:v>0</c:v>
                </c:pt>
                <c:pt idx="149" formatCode="0.00">
                  <c:v>0</c:v>
                </c:pt>
                <c:pt idx="150" formatCode="0.00">
                  <c:v>18.5</c:v>
                </c:pt>
                <c:pt idx="151" formatCode="0.00">
                  <c:v>0</c:v>
                </c:pt>
                <c:pt idx="152" formatCode="0.00">
                  <c:v>20.75</c:v>
                </c:pt>
                <c:pt idx="153" formatCode="0.00">
                  <c:v>3</c:v>
                </c:pt>
                <c:pt idx="154" formatCode="0.00">
                  <c:v>0</c:v>
                </c:pt>
                <c:pt idx="155" formatCode="0.00">
                  <c:v>0</c:v>
                </c:pt>
                <c:pt idx="156" formatCode="0.00">
                  <c:v>23</c:v>
                </c:pt>
                <c:pt idx="157" formatCode="0.00">
                  <c:v>0</c:v>
                </c:pt>
                <c:pt idx="158" formatCode="0.00">
                  <c:v>0</c:v>
                </c:pt>
                <c:pt idx="159" formatCode="0.00">
                  <c:v>0</c:v>
                </c:pt>
                <c:pt idx="160" formatCode="0.00">
                  <c:v>0</c:v>
                </c:pt>
                <c:pt idx="161" formatCode="0.00">
                  <c:v>0</c:v>
                </c:pt>
                <c:pt idx="162" formatCode="0.00">
                  <c:v>0</c:v>
                </c:pt>
                <c:pt idx="163" formatCode="0.00">
                  <c:v>1.5</c:v>
                </c:pt>
                <c:pt idx="164" formatCode="0.00">
                  <c:v>0</c:v>
                </c:pt>
                <c:pt idx="165" formatCode="0.00">
                  <c:v>4.5</c:v>
                </c:pt>
                <c:pt idx="166" formatCode="0.00">
                  <c:v>0</c:v>
                </c:pt>
                <c:pt idx="167" formatCode="0.00">
                  <c:v>0</c:v>
                </c:pt>
                <c:pt idx="168" formatCode="0.00">
                  <c:v>0</c:v>
                </c:pt>
                <c:pt idx="169" formatCode="0.00">
                  <c:v>0.625</c:v>
                </c:pt>
                <c:pt idx="170" formatCode="0.00">
                  <c:v>12</c:v>
                </c:pt>
                <c:pt idx="171" formatCode="0.00">
                  <c:v>7.75</c:v>
                </c:pt>
                <c:pt idx="172" formatCode="0.00">
                  <c:v>0</c:v>
                </c:pt>
                <c:pt idx="173" formatCode="0.00">
                  <c:v>0</c:v>
                </c:pt>
                <c:pt idx="174" formatCode="0.00">
                  <c:v>0</c:v>
                </c:pt>
                <c:pt idx="175" formatCode="0.00">
                  <c:v>5.75</c:v>
                </c:pt>
                <c:pt idx="176" formatCode="0.00">
                  <c:v>0</c:v>
                </c:pt>
                <c:pt idx="177" formatCode="0.00">
                  <c:v>1</c:v>
                </c:pt>
                <c:pt idx="178" formatCode="0.00">
                  <c:v>0</c:v>
                </c:pt>
                <c:pt idx="179" formatCode="0.00">
                  <c:v>32.5</c:v>
                </c:pt>
                <c:pt idx="180" formatCode="0.00">
                  <c:v>0</c:v>
                </c:pt>
                <c:pt idx="181" formatCode="0.00">
                  <c:v>0</c:v>
                </c:pt>
                <c:pt idx="182" formatCode="0.00">
                  <c:v>0</c:v>
                </c:pt>
                <c:pt idx="183" formatCode="0.00">
                  <c:v>0</c:v>
                </c:pt>
                <c:pt idx="184" formatCode="0.00">
                  <c:v>11.75</c:v>
                </c:pt>
                <c:pt idx="185" formatCode="0.00">
                  <c:v>3</c:v>
                </c:pt>
                <c:pt idx="186" formatCode="0.00">
                  <c:v>0</c:v>
                </c:pt>
                <c:pt idx="187" formatCode="0.00">
                  <c:v>0</c:v>
                </c:pt>
                <c:pt idx="188" formatCode="0.00">
                  <c:v>0</c:v>
                </c:pt>
                <c:pt idx="189" formatCode="0.00">
                  <c:v>0</c:v>
                </c:pt>
                <c:pt idx="190" formatCode="0.00">
                  <c:v>0</c:v>
                </c:pt>
                <c:pt idx="191" formatCode="0.00">
                  <c:v>25</c:v>
                </c:pt>
                <c:pt idx="192" formatCode="0.00">
                  <c:v>2</c:v>
                </c:pt>
                <c:pt idx="193" formatCode="0.00">
                  <c:v>0</c:v>
                </c:pt>
                <c:pt idx="194" formatCode="0.00">
                  <c:v>15.75</c:v>
                </c:pt>
                <c:pt idx="195" formatCode="0.00">
                  <c:v>0</c:v>
                </c:pt>
                <c:pt idx="196" formatCode="0.00">
                  <c:v>7.25</c:v>
                </c:pt>
                <c:pt idx="197" formatCode="0.00">
                  <c:v>11.875</c:v>
                </c:pt>
                <c:pt idx="198" formatCode="0.00">
                  <c:v>0</c:v>
                </c:pt>
                <c:pt idx="199" formatCode="0.00">
                  <c:v>1.75</c:v>
                </c:pt>
                <c:pt idx="200" formatCode="0.00">
                  <c:v>19.75</c:v>
                </c:pt>
                <c:pt idx="201" formatCode="0.00">
                  <c:v>7</c:v>
                </c:pt>
                <c:pt idx="202" formatCode="0.00">
                  <c:v>0</c:v>
                </c:pt>
                <c:pt idx="203" formatCode="0.00">
                  <c:v>0</c:v>
                </c:pt>
                <c:pt idx="204" formatCode="0.00">
                  <c:v>56.5</c:v>
                </c:pt>
                <c:pt idx="205" formatCode="0.00">
                  <c:v>1.5</c:v>
                </c:pt>
                <c:pt idx="206" formatCode="0.00">
                  <c:v>0</c:v>
                </c:pt>
                <c:pt idx="207" formatCode="0.00">
                  <c:v>2.25</c:v>
                </c:pt>
                <c:pt idx="208" formatCode="0.00">
                  <c:v>14</c:v>
                </c:pt>
                <c:pt idx="209" formatCode="0.00">
                  <c:v>68.75</c:v>
                </c:pt>
                <c:pt idx="210" formatCode="0.00">
                  <c:v>0</c:v>
                </c:pt>
                <c:pt idx="211" formatCode="0.00">
                  <c:v>0</c:v>
                </c:pt>
                <c:pt idx="212" formatCode="0.00">
                  <c:v>10</c:v>
                </c:pt>
                <c:pt idx="213" formatCode="0.00">
                  <c:v>0</c:v>
                </c:pt>
                <c:pt idx="214" formatCode="0.00">
                  <c:v>0</c:v>
                </c:pt>
                <c:pt idx="215" formatCode="0.00">
                  <c:v>0</c:v>
                </c:pt>
                <c:pt idx="216" formatCode="0.00">
                  <c:v>0</c:v>
                </c:pt>
                <c:pt idx="217" formatCode="0.00">
                  <c:v>3.25</c:v>
                </c:pt>
                <c:pt idx="218" formatCode="0.00">
                  <c:v>0</c:v>
                </c:pt>
                <c:pt idx="219" formatCode="0.00">
                  <c:v>10</c:v>
                </c:pt>
                <c:pt idx="220" formatCode="0.00">
                  <c:v>0</c:v>
                </c:pt>
                <c:pt idx="221" formatCode="0.00">
                  <c:v>0.75</c:v>
                </c:pt>
                <c:pt idx="222" formatCode="0.00">
                  <c:v>84.5</c:v>
                </c:pt>
                <c:pt idx="223" formatCode="0.00">
                  <c:v>5.75</c:v>
                </c:pt>
                <c:pt idx="224" formatCode="0.00">
                  <c:v>0</c:v>
                </c:pt>
                <c:pt idx="225" formatCode="0.00">
                  <c:v>0</c:v>
                </c:pt>
                <c:pt idx="226" formatCode="0.00">
                  <c:v>5.75</c:v>
                </c:pt>
                <c:pt idx="227" formatCode="0.00">
                  <c:v>70.5</c:v>
                </c:pt>
                <c:pt idx="228" formatCode="0.00">
                  <c:v>4.25</c:v>
                </c:pt>
                <c:pt idx="229" formatCode="0.00">
                  <c:v>0</c:v>
                </c:pt>
                <c:pt idx="230" formatCode="0.00">
                  <c:v>6.6</c:v>
                </c:pt>
                <c:pt idx="231" formatCode="0.00">
                  <c:v>0</c:v>
                </c:pt>
                <c:pt idx="232" formatCode="0.00">
                  <c:v>0</c:v>
                </c:pt>
                <c:pt idx="233" formatCode="0.00">
                  <c:v>69</c:v>
                </c:pt>
                <c:pt idx="234" formatCode="0.00">
                  <c:v>0</c:v>
                </c:pt>
                <c:pt idx="235" formatCode="0.00">
                  <c:v>2</c:v>
                </c:pt>
                <c:pt idx="236" formatCode="0.00">
                  <c:v>0</c:v>
                </c:pt>
                <c:pt idx="237" formatCode="0.00">
                  <c:v>7.75</c:v>
                </c:pt>
                <c:pt idx="238" formatCode="0.00">
                  <c:v>9.25</c:v>
                </c:pt>
                <c:pt idx="239" formatCode="0.00">
                  <c:v>84</c:v>
                </c:pt>
                <c:pt idx="240" formatCode="0.00">
                  <c:v>6.5</c:v>
                </c:pt>
                <c:pt idx="241" formatCode="0.00">
                  <c:v>4</c:v>
                </c:pt>
                <c:pt idx="242" formatCode="0.00">
                  <c:v>35.5</c:v>
                </c:pt>
                <c:pt idx="243" formatCode="0.00">
                  <c:v>3.5</c:v>
                </c:pt>
                <c:pt idx="244" formatCode="0.00">
                  <c:v>8.5</c:v>
                </c:pt>
                <c:pt idx="245" formatCode="0.00">
                  <c:v>16</c:v>
                </c:pt>
                <c:pt idx="246" formatCode="0.00">
                  <c:v>5.25</c:v>
                </c:pt>
                <c:pt idx="247" formatCode="0.00">
                  <c:v>0.5</c:v>
                </c:pt>
                <c:pt idx="248" formatCode="0.00">
                  <c:v>13.75</c:v>
                </c:pt>
                <c:pt idx="249" formatCode="0.00">
                  <c:v>5.5</c:v>
                </c:pt>
                <c:pt idx="250" formatCode="0.00">
                  <c:v>0</c:v>
                </c:pt>
                <c:pt idx="251" formatCode="0.00">
                  <c:v>0</c:v>
                </c:pt>
                <c:pt idx="252" formatCode="0.00">
                  <c:v>40.75</c:v>
                </c:pt>
                <c:pt idx="253" formatCode="0.00">
                  <c:v>5.5</c:v>
                </c:pt>
                <c:pt idx="254" formatCode="0.00">
                  <c:v>6.75</c:v>
                </c:pt>
                <c:pt idx="255" formatCode="0.00">
                  <c:v>8</c:v>
                </c:pt>
                <c:pt idx="256" formatCode="0.00">
                  <c:v>1.25</c:v>
                </c:pt>
                <c:pt idx="257" formatCode="0.00">
                  <c:v>0</c:v>
                </c:pt>
                <c:pt idx="258" formatCode="0.00">
                  <c:v>0.25</c:v>
                </c:pt>
                <c:pt idx="259" formatCode="0.00">
                  <c:v>4.25</c:v>
                </c:pt>
                <c:pt idx="260" formatCode="0.00">
                  <c:v>3.25</c:v>
                </c:pt>
                <c:pt idx="261" formatCode="0.00">
                  <c:v>0</c:v>
                </c:pt>
                <c:pt idx="262" formatCode="0.00">
                  <c:v>0</c:v>
                </c:pt>
                <c:pt idx="263" formatCode="0.00">
                  <c:v>24.75</c:v>
                </c:pt>
                <c:pt idx="264" formatCode="0.00">
                  <c:v>0</c:v>
                </c:pt>
                <c:pt idx="265" formatCode="0.00">
                  <c:v>16</c:v>
                </c:pt>
                <c:pt idx="266" formatCode="0.00">
                  <c:v>0</c:v>
                </c:pt>
                <c:pt idx="267" formatCode="0.00">
                  <c:v>0</c:v>
                </c:pt>
                <c:pt idx="268" formatCode="0.00">
                  <c:v>18.5</c:v>
                </c:pt>
                <c:pt idx="269" formatCode="0.00">
                  <c:v>4.95</c:v>
                </c:pt>
                <c:pt idx="270" formatCode="0.00">
                  <c:v>0</c:v>
                </c:pt>
                <c:pt idx="271" formatCode="0.00">
                  <c:v>0</c:v>
                </c:pt>
                <c:pt idx="272" formatCode="0.00">
                  <c:v>6.4</c:v>
                </c:pt>
                <c:pt idx="273" formatCode="0.00">
                  <c:v>0</c:v>
                </c:pt>
                <c:pt idx="274" formatCode="0.00">
                  <c:v>3.2</c:v>
                </c:pt>
                <c:pt idx="275" formatCode="0.00">
                  <c:v>5.8</c:v>
                </c:pt>
                <c:pt idx="276" formatCode="0.00">
                  <c:v>0</c:v>
                </c:pt>
                <c:pt idx="277" formatCode="0.00">
                  <c:v>38.25</c:v>
                </c:pt>
                <c:pt idx="278" formatCode="0.00">
                  <c:v>5.75</c:v>
                </c:pt>
                <c:pt idx="279" formatCode="0.00">
                  <c:v>12.25</c:v>
                </c:pt>
                <c:pt idx="280" formatCode="0.00">
                  <c:v>4.25</c:v>
                </c:pt>
                <c:pt idx="281" formatCode="0.00">
                  <c:v>0</c:v>
                </c:pt>
                <c:pt idx="282" formatCode="0.00">
                  <c:v>5.5</c:v>
                </c:pt>
                <c:pt idx="283" formatCode="0.00">
                  <c:v>0</c:v>
                </c:pt>
                <c:pt idx="284" formatCode="0.00">
                  <c:v>0</c:v>
                </c:pt>
                <c:pt idx="285" formatCode="0.00">
                  <c:v>0</c:v>
                </c:pt>
                <c:pt idx="286" formatCode="0.00">
                  <c:v>0</c:v>
                </c:pt>
                <c:pt idx="287" formatCode="0.00">
                  <c:v>11.75</c:v>
                </c:pt>
                <c:pt idx="288" formatCode="0.00">
                  <c:v>0</c:v>
                </c:pt>
                <c:pt idx="289" formatCode="0.00">
                  <c:v>0</c:v>
                </c:pt>
                <c:pt idx="290" formatCode="0.00">
                  <c:v>1</c:v>
                </c:pt>
                <c:pt idx="291" formatCode="0.00">
                  <c:v>0</c:v>
                </c:pt>
                <c:pt idx="292" formatCode="0.00">
                  <c:v>0</c:v>
                </c:pt>
                <c:pt idx="293" formatCode="0.00">
                  <c:v>0</c:v>
                </c:pt>
                <c:pt idx="294" formatCode="0.00">
                  <c:v>0</c:v>
                </c:pt>
                <c:pt idx="295" formatCode="0.00">
                  <c:v>0</c:v>
                </c:pt>
                <c:pt idx="296" formatCode="0.00">
                  <c:v>0</c:v>
                </c:pt>
                <c:pt idx="297" formatCode="0.00">
                  <c:v>0</c:v>
                </c:pt>
                <c:pt idx="298" formatCode="0.00">
                  <c:v>0</c:v>
                </c:pt>
                <c:pt idx="299" formatCode="0.00">
                  <c:v>0</c:v>
                </c:pt>
                <c:pt idx="300" formatCode="0.00">
                  <c:v>0</c:v>
                </c:pt>
                <c:pt idx="301" formatCode="0.00">
                  <c:v>0</c:v>
                </c:pt>
                <c:pt idx="302" formatCode="0.00">
                  <c:v>0</c:v>
                </c:pt>
                <c:pt idx="303" formatCode="0.00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B7-4D37-A9A8-3E08CC3136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9521072"/>
        <c:axId val="139531408"/>
      </c:barChart>
      <c:dateAx>
        <c:axId val="139521072"/>
        <c:scaling>
          <c:orientation val="minMax"/>
        </c:scaling>
        <c:delete val="0"/>
        <c:axPos val="b"/>
        <c:numFmt formatCode="[$-409]d\-mmm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9531408"/>
        <c:crosses val="autoZero"/>
        <c:auto val="1"/>
        <c:lblOffset val="100"/>
        <c:baseTimeUnit val="days"/>
        <c:majorUnit val="10"/>
        <c:majorTimeUnit val="days"/>
        <c:minorUnit val="5"/>
        <c:minorTimeUnit val="days"/>
      </c:dateAx>
      <c:valAx>
        <c:axId val="139531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Rainfall (mm/24Hrs)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9521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'WGO 2020'!$J$6</c:f>
              <c:strCache>
                <c:ptCount val="1"/>
                <c:pt idx="0">
                  <c:v>YTD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'WGO 2020'!$F$7:$F$18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'WGO 2020'!$J$7:$J$18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 formatCode="0">
                  <c:v>7</c:v>
                </c:pt>
                <c:pt idx="3" formatCode="0">
                  <c:v>13.05</c:v>
                </c:pt>
                <c:pt idx="4" formatCode="0">
                  <c:v>132.95000000000002</c:v>
                </c:pt>
                <c:pt idx="5" formatCode="0">
                  <c:v>245.32500000000002</c:v>
                </c:pt>
                <c:pt idx="6" formatCode="0">
                  <c:v>503.45000000000005</c:v>
                </c:pt>
                <c:pt idx="7" formatCode="0">
                  <c:v>916.30000000000007</c:v>
                </c:pt>
                <c:pt idx="8" formatCode="0">
                  <c:v>1106.4000000000001</c:v>
                </c:pt>
                <c:pt idx="9" formatCode="0">
                  <c:v>1194.1500000000001</c:v>
                </c:pt>
                <c:pt idx="10" formatCode="0">
                  <c:v>1194.1500000000001</c:v>
                </c:pt>
                <c:pt idx="11" formatCode="0">
                  <c:v>1194.1500000000001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72-4327-B37E-F24AA32021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9529776"/>
        <c:axId val="139530320"/>
      </c:lineChart>
      <c:catAx>
        <c:axId val="139529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9530320"/>
        <c:crosses val="autoZero"/>
        <c:auto val="1"/>
        <c:lblAlgn val="ctr"/>
        <c:lblOffset val="100"/>
        <c:noMultiLvlLbl val="0"/>
      </c:catAx>
      <c:valAx>
        <c:axId val="139530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Rainfall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9529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524759405074367"/>
          <c:y val="0.17171296296296296"/>
          <c:w val="0.75253018372703417"/>
          <c:h val="0.60682662454803771"/>
        </c:manualLayout>
      </c:layout>
      <c:lineChart>
        <c:grouping val="stacked"/>
        <c:varyColors val="0"/>
        <c:ser>
          <c:idx val="1"/>
          <c:order val="0"/>
          <c:tx>
            <c:strRef>
              <c:f>PLUVIO!$A$2</c:f>
              <c:strCache>
                <c:ptCount val="1"/>
                <c:pt idx="0">
                  <c:v>Précipitations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PLUVIO!$B$1:$J$1</c:f>
              <c:numCache>
                <c:formatCode>General</c:formatCode>
                <c:ptCount val="9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</c:numCache>
            </c:numRef>
          </c:cat>
          <c:val>
            <c:numRef>
              <c:f>PLUVIO!$B$2:$J$2</c:f>
              <c:numCache>
                <c:formatCode>General</c:formatCode>
                <c:ptCount val="9"/>
                <c:pt idx="0">
                  <c:v>1149.1500000000001</c:v>
                </c:pt>
                <c:pt idx="1">
                  <c:v>1091.9829999999999</c:v>
                </c:pt>
                <c:pt idx="2">
                  <c:v>1221.7660000000001</c:v>
                </c:pt>
                <c:pt idx="3">
                  <c:v>905.01499999999999</c:v>
                </c:pt>
                <c:pt idx="4">
                  <c:v>1146</c:v>
                </c:pt>
                <c:pt idx="5">
                  <c:v>1250.45</c:v>
                </c:pt>
                <c:pt idx="6">
                  <c:v>1164.1500000000001</c:v>
                </c:pt>
                <c:pt idx="7">
                  <c:v>1229.567</c:v>
                </c:pt>
                <c:pt idx="8">
                  <c:v>1256.5730000000001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11E-4A28-8763-929FE12C39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0449615"/>
        <c:axId val="1540455439"/>
      </c:lineChart>
      <c:catAx>
        <c:axId val="15404496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  <a:alpha val="51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40455439"/>
        <c:crosses val="autoZero"/>
        <c:auto val="1"/>
        <c:lblAlgn val="ctr"/>
        <c:lblOffset val="100"/>
        <c:noMultiLvlLbl val="0"/>
      </c:catAx>
      <c:valAx>
        <c:axId val="1540455439"/>
        <c:scaling>
          <c:orientation val="minMax"/>
          <c:min val="80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40449615"/>
        <c:crosses val="autoZero"/>
        <c:crossBetween val="between"/>
        <c:majorUnit val="200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zero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'WGO 2021'!$L$6</c:f>
              <c:strCache>
                <c:ptCount val="1"/>
                <c:pt idx="0">
                  <c:v>Rain (mm)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'WGO 2021'!$K$7:$K$18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'WGO 2021'!$L$7:$L$18</c:f>
              <c:numCache>
                <c:formatCode>0.0</c:formatCode>
                <c:ptCount val="12"/>
                <c:pt idx="0" formatCode="General">
                  <c:v>0</c:v>
                </c:pt>
                <c:pt idx="1">
                  <c:v>10.736666666666666</c:v>
                </c:pt>
                <c:pt idx="2" formatCode="0">
                  <c:v>3.8333333333333335</c:v>
                </c:pt>
                <c:pt idx="3" formatCode="0">
                  <c:v>17.973333333333333</c:v>
                </c:pt>
                <c:pt idx="4" formatCode="0">
                  <c:v>112.37</c:v>
                </c:pt>
                <c:pt idx="5" formatCode="0">
                  <c:v>178.08933333333331</c:v>
                </c:pt>
                <c:pt idx="6" formatCode="0">
                  <c:v>321.10566666666665</c:v>
                </c:pt>
                <c:pt idx="7" formatCode="0">
                  <c:v>217.5336666666667</c:v>
                </c:pt>
                <c:pt idx="8" formatCode="0">
                  <c:v>192.54499999999996</c:v>
                </c:pt>
                <c:pt idx="9" formatCode="0">
                  <c:v>169.9316666666667</c:v>
                </c:pt>
                <c:pt idx="10" formatCode="0">
                  <c:v>5.4483333333333333</c:v>
                </c:pt>
                <c:pt idx="11" formatCode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40-450E-9E86-C3E1E965C03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9528688"/>
        <c:axId val="139524336"/>
      </c:barChart>
      <c:lineChart>
        <c:grouping val="stacked"/>
        <c:varyColors val="0"/>
        <c:ser>
          <c:idx val="1"/>
          <c:order val="1"/>
          <c:tx>
            <c:strRef>
              <c:f>'WGO 2021'!$M$6</c:f>
              <c:strCache>
                <c:ptCount val="1"/>
                <c:pt idx="0">
                  <c:v>Number of Rainy Days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'WGO 2021'!$K$7:$K$18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'WGO 2021'!$M$7:$M$18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6</c:v>
                </c:pt>
                <c:pt idx="5">
                  <c:v>11</c:v>
                </c:pt>
                <c:pt idx="6">
                  <c:v>14</c:v>
                </c:pt>
                <c:pt idx="7">
                  <c:v>23</c:v>
                </c:pt>
                <c:pt idx="8">
                  <c:v>13</c:v>
                </c:pt>
                <c:pt idx="9">
                  <c:v>10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40-450E-9E86-C3E1E965C03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39528144"/>
        <c:axId val="139526512"/>
      </c:lineChart>
      <c:catAx>
        <c:axId val="139528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9524336"/>
        <c:crosses val="autoZero"/>
        <c:auto val="1"/>
        <c:lblAlgn val="ctr"/>
        <c:lblOffset val="100"/>
        <c:noMultiLvlLbl val="0"/>
      </c:catAx>
      <c:valAx>
        <c:axId val="139524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1"/>
                  <a:t>Rainfall (mm/month)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9528688"/>
        <c:crosses val="autoZero"/>
        <c:crossBetween val="between"/>
      </c:valAx>
      <c:valAx>
        <c:axId val="139526512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Days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9528144"/>
        <c:crosses val="max"/>
        <c:crossBetween val="between"/>
      </c:valAx>
      <c:catAx>
        <c:axId val="13952814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3952651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'WGO 2021'!$C$1</c:f>
              <c:strCache>
                <c:ptCount val="1"/>
                <c:pt idx="0">
                  <c:v>Average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numRef>
              <c:f>'WGO 2021'!$B$2:$B$365</c:f>
              <c:numCache>
                <c:formatCode>[$-409]d\-mmm\-yy;@</c:formatCode>
                <c:ptCount val="364"/>
                <c:pt idx="0">
                  <c:v>44197</c:v>
                </c:pt>
                <c:pt idx="1">
                  <c:v>44198</c:v>
                </c:pt>
                <c:pt idx="2">
                  <c:v>44199</c:v>
                </c:pt>
                <c:pt idx="3">
                  <c:v>44200</c:v>
                </c:pt>
                <c:pt idx="4">
                  <c:v>44201</c:v>
                </c:pt>
                <c:pt idx="5">
                  <c:v>44202</c:v>
                </c:pt>
                <c:pt idx="6">
                  <c:v>44203</c:v>
                </c:pt>
                <c:pt idx="7">
                  <c:v>44204</c:v>
                </c:pt>
                <c:pt idx="8">
                  <c:v>44205</c:v>
                </c:pt>
                <c:pt idx="9">
                  <c:v>44206</c:v>
                </c:pt>
                <c:pt idx="10">
                  <c:v>44207</c:v>
                </c:pt>
                <c:pt idx="11">
                  <c:v>44208</c:v>
                </c:pt>
                <c:pt idx="12">
                  <c:v>44209</c:v>
                </c:pt>
                <c:pt idx="13">
                  <c:v>44210</c:v>
                </c:pt>
                <c:pt idx="14">
                  <c:v>44211</c:v>
                </c:pt>
                <c:pt idx="15">
                  <c:v>44212</c:v>
                </c:pt>
                <c:pt idx="16">
                  <c:v>44213</c:v>
                </c:pt>
                <c:pt idx="17">
                  <c:v>44214</c:v>
                </c:pt>
                <c:pt idx="18">
                  <c:v>44215</c:v>
                </c:pt>
                <c:pt idx="19">
                  <c:v>44216</c:v>
                </c:pt>
                <c:pt idx="20">
                  <c:v>44217</c:v>
                </c:pt>
                <c:pt idx="21">
                  <c:v>44218</c:v>
                </c:pt>
                <c:pt idx="22">
                  <c:v>44219</c:v>
                </c:pt>
                <c:pt idx="23">
                  <c:v>44220</c:v>
                </c:pt>
                <c:pt idx="24">
                  <c:v>44221</c:v>
                </c:pt>
                <c:pt idx="25">
                  <c:v>44222</c:v>
                </c:pt>
                <c:pt idx="26">
                  <c:v>44223</c:v>
                </c:pt>
                <c:pt idx="27">
                  <c:v>44224</c:v>
                </c:pt>
                <c:pt idx="28">
                  <c:v>44225</c:v>
                </c:pt>
                <c:pt idx="29">
                  <c:v>44226</c:v>
                </c:pt>
                <c:pt idx="30">
                  <c:v>44227</c:v>
                </c:pt>
                <c:pt idx="31">
                  <c:v>44228</c:v>
                </c:pt>
                <c:pt idx="32">
                  <c:v>44229</c:v>
                </c:pt>
                <c:pt idx="33">
                  <c:v>44230</c:v>
                </c:pt>
                <c:pt idx="34">
                  <c:v>44231</c:v>
                </c:pt>
                <c:pt idx="35">
                  <c:v>44232</c:v>
                </c:pt>
                <c:pt idx="36">
                  <c:v>44233</c:v>
                </c:pt>
                <c:pt idx="37">
                  <c:v>44234</c:v>
                </c:pt>
                <c:pt idx="38">
                  <c:v>44235</c:v>
                </c:pt>
                <c:pt idx="39">
                  <c:v>44236</c:v>
                </c:pt>
                <c:pt idx="40">
                  <c:v>44237</c:v>
                </c:pt>
                <c:pt idx="41">
                  <c:v>44238</c:v>
                </c:pt>
                <c:pt idx="42">
                  <c:v>44239</c:v>
                </c:pt>
                <c:pt idx="43">
                  <c:v>44240</c:v>
                </c:pt>
                <c:pt idx="44">
                  <c:v>44241</c:v>
                </c:pt>
                <c:pt idx="45">
                  <c:v>44242</c:v>
                </c:pt>
                <c:pt idx="46">
                  <c:v>44243</c:v>
                </c:pt>
                <c:pt idx="47">
                  <c:v>44244</c:v>
                </c:pt>
                <c:pt idx="48">
                  <c:v>44245</c:v>
                </c:pt>
                <c:pt idx="49">
                  <c:v>44246</c:v>
                </c:pt>
                <c:pt idx="50">
                  <c:v>44247</c:v>
                </c:pt>
                <c:pt idx="51">
                  <c:v>44248</c:v>
                </c:pt>
                <c:pt idx="52">
                  <c:v>44249</c:v>
                </c:pt>
                <c:pt idx="53">
                  <c:v>44250</c:v>
                </c:pt>
                <c:pt idx="54">
                  <c:v>44251</c:v>
                </c:pt>
                <c:pt idx="55">
                  <c:v>44252</c:v>
                </c:pt>
                <c:pt idx="56">
                  <c:v>44253</c:v>
                </c:pt>
                <c:pt idx="57">
                  <c:v>44254</c:v>
                </c:pt>
                <c:pt idx="58">
                  <c:v>44255</c:v>
                </c:pt>
                <c:pt idx="59">
                  <c:v>44256</c:v>
                </c:pt>
                <c:pt idx="60">
                  <c:v>44257</c:v>
                </c:pt>
                <c:pt idx="61">
                  <c:v>44258</c:v>
                </c:pt>
                <c:pt idx="62">
                  <c:v>44259</c:v>
                </c:pt>
                <c:pt idx="63">
                  <c:v>44260</c:v>
                </c:pt>
                <c:pt idx="64">
                  <c:v>44261</c:v>
                </c:pt>
                <c:pt idx="65">
                  <c:v>44262</c:v>
                </c:pt>
                <c:pt idx="66">
                  <c:v>44263</c:v>
                </c:pt>
                <c:pt idx="67">
                  <c:v>44264</c:v>
                </c:pt>
                <c:pt idx="68">
                  <c:v>44265</c:v>
                </c:pt>
                <c:pt idx="69">
                  <c:v>44266</c:v>
                </c:pt>
                <c:pt idx="70">
                  <c:v>44267</c:v>
                </c:pt>
                <c:pt idx="71">
                  <c:v>44268</c:v>
                </c:pt>
                <c:pt idx="72">
                  <c:v>44269</c:v>
                </c:pt>
                <c:pt idx="73">
                  <c:v>44270</c:v>
                </c:pt>
                <c:pt idx="74">
                  <c:v>44271</c:v>
                </c:pt>
                <c:pt idx="75">
                  <c:v>44272</c:v>
                </c:pt>
                <c:pt idx="76">
                  <c:v>44273</c:v>
                </c:pt>
                <c:pt idx="77">
                  <c:v>44274</c:v>
                </c:pt>
                <c:pt idx="78">
                  <c:v>44275</c:v>
                </c:pt>
                <c:pt idx="79">
                  <c:v>44276</c:v>
                </c:pt>
                <c:pt idx="80">
                  <c:v>44277</c:v>
                </c:pt>
                <c:pt idx="81">
                  <c:v>44278</c:v>
                </c:pt>
                <c:pt idx="82">
                  <c:v>44279</c:v>
                </c:pt>
                <c:pt idx="83">
                  <c:v>44280</c:v>
                </c:pt>
                <c:pt idx="84">
                  <c:v>44281</c:v>
                </c:pt>
                <c:pt idx="85">
                  <c:v>44282</c:v>
                </c:pt>
                <c:pt idx="86">
                  <c:v>44283</c:v>
                </c:pt>
                <c:pt idx="87">
                  <c:v>44284</c:v>
                </c:pt>
                <c:pt idx="88">
                  <c:v>44285</c:v>
                </c:pt>
                <c:pt idx="89">
                  <c:v>44286</c:v>
                </c:pt>
                <c:pt idx="90">
                  <c:v>44287</c:v>
                </c:pt>
                <c:pt idx="91">
                  <c:v>44288</c:v>
                </c:pt>
                <c:pt idx="92">
                  <c:v>44289</c:v>
                </c:pt>
                <c:pt idx="93">
                  <c:v>44290</c:v>
                </c:pt>
                <c:pt idx="94">
                  <c:v>44291</c:v>
                </c:pt>
                <c:pt idx="95">
                  <c:v>44292</c:v>
                </c:pt>
                <c:pt idx="96">
                  <c:v>44293</c:v>
                </c:pt>
                <c:pt idx="97">
                  <c:v>44294</c:v>
                </c:pt>
                <c:pt idx="98">
                  <c:v>44295</c:v>
                </c:pt>
                <c:pt idx="99">
                  <c:v>44296</c:v>
                </c:pt>
                <c:pt idx="100">
                  <c:v>44297</c:v>
                </c:pt>
                <c:pt idx="101">
                  <c:v>44298</c:v>
                </c:pt>
                <c:pt idx="102">
                  <c:v>44299</c:v>
                </c:pt>
                <c:pt idx="103">
                  <c:v>44300</c:v>
                </c:pt>
                <c:pt idx="104">
                  <c:v>44301</c:v>
                </c:pt>
                <c:pt idx="105">
                  <c:v>44302</c:v>
                </c:pt>
                <c:pt idx="106">
                  <c:v>44303</c:v>
                </c:pt>
                <c:pt idx="107">
                  <c:v>44304</c:v>
                </c:pt>
                <c:pt idx="108">
                  <c:v>44305</c:v>
                </c:pt>
                <c:pt idx="109">
                  <c:v>44306</c:v>
                </c:pt>
                <c:pt idx="110">
                  <c:v>44307</c:v>
                </c:pt>
                <c:pt idx="111">
                  <c:v>44308</c:v>
                </c:pt>
                <c:pt idx="112">
                  <c:v>44309</c:v>
                </c:pt>
                <c:pt idx="113">
                  <c:v>44310</c:v>
                </c:pt>
                <c:pt idx="114">
                  <c:v>44311</c:v>
                </c:pt>
                <c:pt idx="115">
                  <c:v>44312</c:v>
                </c:pt>
                <c:pt idx="116">
                  <c:v>44313</c:v>
                </c:pt>
                <c:pt idx="117">
                  <c:v>44314</c:v>
                </c:pt>
                <c:pt idx="118">
                  <c:v>44315</c:v>
                </c:pt>
                <c:pt idx="119">
                  <c:v>44316</c:v>
                </c:pt>
                <c:pt idx="120">
                  <c:v>44317</c:v>
                </c:pt>
                <c:pt idx="121">
                  <c:v>44318</c:v>
                </c:pt>
                <c:pt idx="122">
                  <c:v>44319</c:v>
                </c:pt>
                <c:pt idx="123">
                  <c:v>44320</c:v>
                </c:pt>
                <c:pt idx="124">
                  <c:v>44321</c:v>
                </c:pt>
                <c:pt idx="125">
                  <c:v>44322</c:v>
                </c:pt>
                <c:pt idx="126">
                  <c:v>44323</c:v>
                </c:pt>
                <c:pt idx="127">
                  <c:v>44324</c:v>
                </c:pt>
                <c:pt idx="128">
                  <c:v>44325</c:v>
                </c:pt>
                <c:pt idx="129">
                  <c:v>44326</c:v>
                </c:pt>
                <c:pt idx="130">
                  <c:v>44327</c:v>
                </c:pt>
                <c:pt idx="131">
                  <c:v>44328</c:v>
                </c:pt>
                <c:pt idx="132">
                  <c:v>44329</c:v>
                </c:pt>
                <c:pt idx="133">
                  <c:v>44330</c:v>
                </c:pt>
                <c:pt idx="134">
                  <c:v>44331</c:v>
                </c:pt>
                <c:pt idx="135">
                  <c:v>44332</c:v>
                </c:pt>
                <c:pt idx="136">
                  <c:v>44333</c:v>
                </c:pt>
                <c:pt idx="137">
                  <c:v>44334</c:v>
                </c:pt>
                <c:pt idx="138">
                  <c:v>44335</c:v>
                </c:pt>
                <c:pt idx="139">
                  <c:v>44336</c:v>
                </c:pt>
                <c:pt idx="140">
                  <c:v>44337</c:v>
                </c:pt>
                <c:pt idx="141">
                  <c:v>44338</c:v>
                </c:pt>
                <c:pt idx="142">
                  <c:v>44339</c:v>
                </c:pt>
                <c:pt idx="143">
                  <c:v>44340</c:v>
                </c:pt>
                <c:pt idx="144">
                  <c:v>44341</c:v>
                </c:pt>
                <c:pt idx="145">
                  <c:v>44342</c:v>
                </c:pt>
                <c:pt idx="146">
                  <c:v>44343</c:v>
                </c:pt>
                <c:pt idx="147">
                  <c:v>44344</c:v>
                </c:pt>
                <c:pt idx="148">
                  <c:v>44345</c:v>
                </c:pt>
                <c:pt idx="149">
                  <c:v>44346</c:v>
                </c:pt>
                <c:pt idx="150">
                  <c:v>44347</c:v>
                </c:pt>
                <c:pt idx="151">
                  <c:v>44348</c:v>
                </c:pt>
                <c:pt idx="152">
                  <c:v>44349</c:v>
                </c:pt>
                <c:pt idx="153">
                  <c:v>44350</c:v>
                </c:pt>
                <c:pt idx="154">
                  <c:v>44351</c:v>
                </c:pt>
                <c:pt idx="155">
                  <c:v>44352</c:v>
                </c:pt>
                <c:pt idx="156">
                  <c:v>44353</c:v>
                </c:pt>
                <c:pt idx="157">
                  <c:v>44354</c:v>
                </c:pt>
                <c:pt idx="158">
                  <c:v>44355</c:v>
                </c:pt>
                <c:pt idx="159">
                  <c:v>44356</c:v>
                </c:pt>
                <c:pt idx="160">
                  <c:v>44357</c:v>
                </c:pt>
                <c:pt idx="161">
                  <c:v>44358</c:v>
                </c:pt>
                <c:pt idx="162">
                  <c:v>44359</c:v>
                </c:pt>
                <c:pt idx="163">
                  <c:v>44360</c:v>
                </c:pt>
                <c:pt idx="164">
                  <c:v>44361</c:v>
                </c:pt>
                <c:pt idx="165">
                  <c:v>44362</c:v>
                </c:pt>
                <c:pt idx="166">
                  <c:v>44363</c:v>
                </c:pt>
                <c:pt idx="167">
                  <c:v>44364</c:v>
                </c:pt>
                <c:pt idx="168">
                  <c:v>44365</c:v>
                </c:pt>
                <c:pt idx="169">
                  <c:v>44366</c:v>
                </c:pt>
                <c:pt idx="170">
                  <c:v>44367</c:v>
                </c:pt>
                <c:pt idx="171">
                  <c:v>44368</c:v>
                </c:pt>
                <c:pt idx="172">
                  <c:v>44369</c:v>
                </c:pt>
                <c:pt idx="173">
                  <c:v>44370</c:v>
                </c:pt>
                <c:pt idx="174">
                  <c:v>44371</c:v>
                </c:pt>
                <c:pt idx="175">
                  <c:v>44372</c:v>
                </c:pt>
                <c:pt idx="176">
                  <c:v>44373</c:v>
                </c:pt>
                <c:pt idx="177">
                  <c:v>44374</c:v>
                </c:pt>
                <c:pt idx="178">
                  <c:v>44375</c:v>
                </c:pt>
                <c:pt idx="179">
                  <c:v>44376</c:v>
                </c:pt>
                <c:pt idx="180">
                  <c:v>44377</c:v>
                </c:pt>
                <c:pt idx="181">
                  <c:v>44378</c:v>
                </c:pt>
                <c:pt idx="182">
                  <c:v>44379</c:v>
                </c:pt>
                <c:pt idx="183">
                  <c:v>44380</c:v>
                </c:pt>
                <c:pt idx="184">
                  <c:v>44381</c:v>
                </c:pt>
                <c:pt idx="185">
                  <c:v>44382</c:v>
                </c:pt>
                <c:pt idx="186">
                  <c:v>44383</c:v>
                </c:pt>
                <c:pt idx="187">
                  <c:v>44384</c:v>
                </c:pt>
                <c:pt idx="188">
                  <c:v>44385</c:v>
                </c:pt>
                <c:pt idx="189">
                  <c:v>44386</c:v>
                </c:pt>
                <c:pt idx="190">
                  <c:v>44387</c:v>
                </c:pt>
                <c:pt idx="191">
                  <c:v>44388</c:v>
                </c:pt>
                <c:pt idx="192">
                  <c:v>44389</c:v>
                </c:pt>
                <c:pt idx="193">
                  <c:v>44390</c:v>
                </c:pt>
                <c:pt idx="194">
                  <c:v>44391</c:v>
                </c:pt>
                <c:pt idx="195">
                  <c:v>44392</c:v>
                </c:pt>
                <c:pt idx="196">
                  <c:v>44393</c:v>
                </c:pt>
                <c:pt idx="197">
                  <c:v>44394</c:v>
                </c:pt>
                <c:pt idx="198">
                  <c:v>44395</c:v>
                </c:pt>
                <c:pt idx="199">
                  <c:v>44396</c:v>
                </c:pt>
                <c:pt idx="200">
                  <c:v>44397</c:v>
                </c:pt>
                <c:pt idx="201">
                  <c:v>44398</c:v>
                </c:pt>
                <c:pt idx="202">
                  <c:v>44399</c:v>
                </c:pt>
                <c:pt idx="203">
                  <c:v>44400</c:v>
                </c:pt>
                <c:pt idx="204">
                  <c:v>44401</c:v>
                </c:pt>
                <c:pt idx="205">
                  <c:v>44402</c:v>
                </c:pt>
                <c:pt idx="206">
                  <c:v>44403</c:v>
                </c:pt>
                <c:pt idx="207">
                  <c:v>44404</c:v>
                </c:pt>
                <c:pt idx="208">
                  <c:v>44405</c:v>
                </c:pt>
                <c:pt idx="209">
                  <c:v>44406</c:v>
                </c:pt>
                <c:pt idx="210">
                  <c:v>44407</c:v>
                </c:pt>
                <c:pt idx="211">
                  <c:v>44408</c:v>
                </c:pt>
                <c:pt idx="212">
                  <c:v>44409</c:v>
                </c:pt>
                <c:pt idx="213">
                  <c:v>44410</c:v>
                </c:pt>
                <c:pt idx="214">
                  <c:v>44411</c:v>
                </c:pt>
                <c:pt idx="215">
                  <c:v>44412</c:v>
                </c:pt>
                <c:pt idx="216">
                  <c:v>44413</c:v>
                </c:pt>
                <c:pt idx="217">
                  <c:v>44414</c:v>
                </c:pt>
                <c:pt idx="218">
                  <c:v>44415</c:v>
                </c:pt>
                <c:pt idx="219">
                  <c:v>44416</c:v>
                </c:pt>
                <c:pt idx="220">
                  <c:v>44417</c:v>
                </c:pt>
                <c:pt idx="221">
                  <c:v>44418</c:v>
                </c:pt>
                <c:pt idx="222">
                  <c:v>44419</c:v>
                </c:pt>
                <c:pt idx="223">
                  <c:v>44420</c:v>
                </c:pt>
                <c:pt idx="224">
                  <c:v>44421</c:v>
                </c:pt>
                <c:pt idx="225">
                  <c:v>44422</c:v>
                </c:pt>
                <c:pt idx="226">
                  <c:v>44423</c:v>
                </c:pt>
                <c:pt idx="227">
                  <c:v>44424</c:v>
                </c:pt>
                <c:pt idx="228">
                  <c:v>44425</c:v>
                </c:pt>
                <c:pt idx="229">
                  <c:v>44426</c:v>
                </c:pt>
                <c:pt idx="230">
                  <c:v>44427</c:v>
                </c:pt>
                <c:pt idx="231">
                  <c:v>44428</c:v>
                </c:pt>
                <c:pt idx="232">
                  <c:v>44429</c:v>
                </c:pt>
                <c:pt idx="233">
                  <c:v>44430</c:v>
                </c:pt>
                <c:pt idx="234">
                  <c:v>44431</c:v>
                </c:pt>
                <c:pt idx="235">
                  <c:v>44432</c:v>
                </c:pt>
                <c:pt idx="236">
                  <c:v>44433</c:v>
                </c:pt>
                <c:pt idx="237">
                  <c:v>44434</c:v>
                </c:pt>
                <c:pt idx="238">
                  <c:v>44435</c:v>
                </c:pt>
                <c:pt idx="239">
                  <c:v>44436</c:v>
                </c:pt>
                <c:pt idx="240">
                  <c:v>44437</c:v>
                </c:pt>
                <c:pt idx="241">
                  <c:v>44438</c:v>
                </c:pt>
                <c:pt idx="242">
                  <c:v>44439</c:v>
                </c:pt>
                <c:pt idx="243">
                  <c:v>44440</c:v>
                </c:pt>
                <c:pt idx="244">
                  <c:v>44441</c:v>
                </c:pt>
                <c:pt idx="245">
                  <c:v>44442</c:v>
                </c:pt>
                <c:pt idx="246">
                  <c:v>44443</c:v>
                </c:pt>
                <c:pt idx="247">
                  <c:v>44444</c:v>
                </c:pt>
                <c:pt idx="248">
                  <c:v>44445</c:v>
                </c:pt>
                <c:pt idx="249">
                  <c:v>44446</c:v>
                </c:pt>
                <c:pt idx="250">
                  <c:v>44447</c:v>
                </c:pt>
                <c:pt idx="251">
                  <c:v>44448</c:v>
                </c:pt>
                <c:pt idx="252">
                  <c:v>44449</c:v>
                </c:pt>
                <c:pt idx="253">
                  <c:v>44450</c:v>
                </c:pt>
                <c:pt idx="254">
                  <c:v>44451</c:v>
                </c:pt>
                <c:pt idx="255">
                  <c:v>44452</c:v>
                </c:pt>
                <c:pt idx="256">
                  <c:v>44453</c:v>
                </c:pt>
                <c:pt idx="257">
                  <c:v>44454</c:v>
                </c:pt>
                <c:pt idx="258">
                  <c:v>44455</c:v>
                </c:pt>
                <c:pt idx="259">
                  <c:v>44456</c:v>
                </c:pt>
                <c:pt idx="260">
                  <c:v>44457</c:v>
                </c:pt>
                <c:pt idx="261">
                  <c:v>44458</c:v>
                </c:pt>
                <c:pt idx="262">
                  <c:v>44459</c:v>
                </c:pt>
                <c:pt idx="263">
                  <c:v>44460</c:v>
                </c:pt>
                <c:pt idx="264">
                  <c:v>44461</c:v>
                </c:pt>
                <c:pt idx="265">
                  <c:v>44462</c:v>
                </c:pt>
                <c:pt idx="266">
                  <c:v>44463</c:v>
                </c:pt>
                <c:pt idx="267">
                  <c:v>44464</c:v>
                </c:pt>
                <c:pt idx="268">
                  <c:v>44465</c:v>
                </c:pt>
                <c:pt idx="269">
                  <c:v>44466</c:v>
                </c:pt>
                <c:pt idx="270">
                  <c:v>44467</c:v>
                </c:pt>
                <c:pt idx="271">
                  <c:v>44468</c:v>
                </c:pt>
                <c:pt idx="272">
                  <c:v>44469</c:v>
                </c:pt>
                <c:pt idx="273">
                  <c:v>44470</c:v>
                </c:pt>
                <c:pt idx="274">
                  <c:v>44471</c:v>
                </c:pt>
                <c:pt idx="275">
                  <c:v>44472</c:v>
                </c:pt>
                <c:pt idx="276">
                  <c:v>44473</c:v>
                </c:pt>
                <c:pt idx="277">
                  <c:v>44474</c:v>
                </c:pt>
                <c:pt idx="278">
                  <c:v>44475</c:v>
                </c:pt>
                <c:pt idx="279">
                  <c:v>44476</c:v>
                </c:pt>
                <c:pt idx="280">
                  <c:v>44477</c:v>
                </c:pt>
                <c:pt idx="281">
                  <c:v>44478</c:v>
                </c:pt>
                <c:pt idx="282">
                  <c:v>44479</c:v>
                </c:pt>
                <c:pt idx="283">
                  <c:v>44480</c:v>
                </c:pt>
                <c:pt idx="284">
                  <c:v>44481</c:v>
                </c:pt>
                <c:pt idx="285">
                  <c:v>44482</c:v>
                </c:pt>
                <c:pt idx="286">
                  <c:v>44483</c:v>
                </c:pt>
                <c:pt idx="287">
                  <c:v>44484</c:v>
                </c:pt>
                <c:pt idx="288">
                  <c:v>44485</c:v>
                </c:pt>
                <c:pt idx="289">
                  <c:v>44486</c:v>
                </c:pt>
                <c:pt idx="290">
                  <c:v>44487</c:v>
                </c:pt>
                <c:pt idx="291">
                  <c:v>44488</c:v>
                </c:pt>
                <c:pt idx="292">
                  <c:v>44489</c:v>
                </c:pt>
                <c:pt idx="293">
                  <c:v>44490</c:v>
                </c:pt>
                <c:pt idx="294">
                  <c:v>44491</c:v>
                </c:pt>
                <c:pt idx="295">
                  <c:v>44492</c:v>
                </c:pt>
                <c:pt idx="296">
                  <c:v>44493</c:v>
                </c:pt>
                <c:pt idx="297">
                  <c:v>44494</c:v>
                </c:pt>
                <c:pt idx="298">
                  <c:v>44495</c:v>
                </c:pt>
                <c:pt idx="299">
                  <c:v>44496</c:v>
                </c:pt>
                <c:pt idx="300">
                  <c:v>44497</c:v>
                </c:pt>
                <c:pt idx="301">
                  <c:v>44498</c:v>
                </c:pt>
                <c:pt idx="302">
                  <c:v>44499</c:v>
                </c:pt>
                <c:pt idx="303">
                  <c:v>44500</c:v>
                </c:pt>
                <c:pt idx="304">
                  <c:v>44501</c:v>
                </c:pt>
                <c:pt idx="305">
                  <c:v>44502</c:v>
                </c:pt>
                <c:pt idx="306">
                  <c:v>44503</c:v>
                </c:pt>
                <c:pt idx="307">
                  <c:v>44504</c:v>
                </c:pt>
                <c:pt idx="308">
                  <c:v>44505</c:v>
                </c:pt>
                <c:pt idx="309">
                  <c:v>44506</c:v>
                </c:pt>
                <c:pt idx="310">
                  <c:v>44507</c:v>
                </c:pt>
                <c:pt idx="311">
                  <c:v>44508</c:v>
                </c:pt>
                <c:pt idx="312">
                  <c:v>44509</c:v>
                </c:pt>
                <c:pt idx="313">
                  <c:v>44510</c:v>
                </c:pt>
                <c:pt idx="314">
                  <c:v>44511</c:v>
                </c:pt>
                <c:pt idx="315">
                  <c:v>44512</c:v>
                </c:pt>
                <c:pt idx="316">
                  <c:v>44513</c:v>
                </c:pt>
                <c:pt idx="317">
                  <c:v>44514</c:v>
                </c:pt>
                <c:pt idx="318">
                  <c:v>44515</c:v>
                </c:pt>
                <c:pt idx="319">
                  <c:v>44516</c:v>
                </c:pt>
                <c:pt idx="320">
                  <c:v>44517</c:v>
                </c:pt>
                <c:pt idx="321">
                  <c:v>44518</c:v>
                </c:pt>
                <c:pt idx="322">
                  <c:v>44519</c:v>
                </c:pt>
                <c:pt idx="323">
                  <c:v>44520</c:v>
                </c:pt>
                <c:pt idx="324">
                  <c:v>44521</c:v>
                </c:pt>
                <c:pt idx="325">
                  <c:v>44522</c:v>
                </c:pt>
                <c:pt idx="326">
                  <c:v>44523</c:v>
                </c:pt>
                <c:pt idx="327">
                  <c:v>44524</c:v>
                </c:pt>
                <c:pt idx="328">
                  <c:v>44525</c:v>
                </c:pt>
                <c:pt idx="329">
                  <c:v>44526</c:v>
                </c:pt>
                <c:pt idx="330">
                  <c:v>44527</c:v>
                </c:pt>
                <c:pt idx="331">
                  <c:v>44528</c:v>
                </c:pt>
                <c:pt idx="332">
                  <c:v>44529</c:v>
                </c:pt>
                <c:pt idx="333">
                  <c:v>44530</c:v>
                </c:pt>
                <c:pt idx="334">
                  <c:v>44531</c:v>
                </c:pt>
                <c:pt idx="335">
                  <c:v>44532</c:v>
                </c:pt>
                <c:pt idx="336">
                  <c:v>44533</c:v>
                </c:pt>
                <c:pt idx="337">
                  <c:v>44534</c:v>
                </c:pt>
                <c:pt idx="338">
                  <c:v>44535</c:v>
                </c:pt>
                <c:pt idx="339">
                  <c:v>44536</c:v>
                </c:pt>
                <c:pt idx="340">
                  <c:v>44537</c:v>
                </c:pt>
                <c:pt idx="341">
                  <c:v>44538</c:v>
                </c:pt>
                <c:pt idx="342">
                  <c:v>44539</c:v>
                </c:pt>
                <c:pt idx="343">
                  <c:v>44540</c:v>
                </c:pt>
                <c:pt idx="344">
                  <c:v>44541</c:v>
                </c:pt>
                <c:pt idx="345">
                  <c:v>44542</c:v>
                </c:pt>
                <c:pt idx="346">
                  <c:v>44543</c:v>
                </c:pt>
                <c:pt idx="347">
                  <c:v>44544</c:v>
                </c:pt>
                <c:pt idx="348">
                  <c:v>44545</c:v>
                </c:pt>
                <c:pt idx="349">
                  <c:v>44546</c:v>
                </c:pt>
                <c:pt idx="350">
                  <c:v>44547</c:v>
                </c:pt>
                <c:pt idx="351">
                  <c:v>44548</c:v>
                </c:pt>
                <c:pt idx="352">
                  <c:v>44549</c:v>
                </c:pt>
                <c:pt idx="353">
                  <c:v>44550</c:v>
                </c:pt>
                <c:pt idx="354">
                  <c:v>44551</c:v>
                </c:pt>
                <c:pt idx="355">
                  <c:v>44552</c:v>
                </c:pt>
                <c:pt idx="356">
                  <c:v>44553</c:v>
                </c:pt>
                <c:pt idx="357">
                  <c:v>44554</c:v>
                </c:pt>
                <c:pt idx="358">
                  <c:v>44555</c:v>
                </c:pt>
                <c:pt idx="359">
                  <c:v>44556</c:v>
                </c:pt>
                <c:pt idx="360">
                  <c:v>44557</c:v>
                </c:pt>
                <c:pt idx="361">
                  <c:v>44558</c:v>
                </c:pt>
                <c:pt idx="362">
                  <c:v>44559</c:v>
                </c:pt>
                <c:pt idx="363">
                  <c:v>44560</c:v>
                </c:pt>
              </c:numCache>
            </c:numRef>
          </c:cat>
          <c:val>
            <c:numRef>
              <c:f>'WGO 2021'!$C$2:$C$365</c:f>
              <c:numCache>
                <c:formatCode>General</c:formatCode>
                <c:ptCount val="36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10.736666666666666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3.8333333333333335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17.973333333333333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23.594999999999999</c:v>
                </c:pt>
                <c:pt idx="125">
                  <c:v>0</c:v>
                </c:pt>
                <c:pt idx="126">
                  <c:v>18.07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4.6599999999999993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4.6033333333333326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2.8200000000000003</c:v>
                </c:pt>
                <c:pt idx="143">
                  <c:v>0</c:v>
                </c:pt>
                <c:pt idx="144">
                  <c:v>58.62166666666667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14.692000000000002</c:v>
                </c:pt>
                <c:pt idx="152">
                  <c:v>0</c:v>
                </c:pt>
                <c:pt idx="153">
                  <c:v>9.8833333333333329</c:v>
                </c:pt>
                <c:pt idx="154">
                  <c:v>0</c:v>
                </c:pt>
                <c:pt idx="155">
                  <c:v>0</c:v>
                </c:pt>
                <c:pt idx="156">
                  <c:v>20.734999999999999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10.440000000000001</c:v>
                </c:pt>
                <c:pt idx="161">
                  <c:v>0</c:v>
                </c:pt>
                <c:pt idx="162">
                  <c:v>2.42</c:v>
                </c:pt>
                <c:pt idx="163">
                  <c:v>0</c:v>
                </c:pt>
                <c:pt idx="164">
                  <c:v>0</c:v>
                </c:pt>
                <c:pt idx="165">
                  <c:v>16.242000000000001</c:v>
                </c:pt>
                <c:pt idx="166">
                  <c:v>0</c:v>
                </c:pt>
                <c:pt idx="167">
                  <c:v>0</c:v>
                </c:pt>
                <c:pt idx="168">
                  <c:v>2.2683333333333331</c:v>
                </c:pt>
                <c:pt idx="169">
                  <c:v>0.66666666666666663</c:v>
                </c:pt>
                <c:pt idx="170">
                  <c:v>0</c:v>
                </c:pt>
                <c:pt idx="171">
                  <c:v>70.381999999999991</c:v>
                </c:pt>
                <c:pt idx="172">
                  <c:v>1.7</c:v>
                </c:pt>
                <c:pt idx="173">
                  <c:v>3.2619999999999996</c:v>
                </c:pt>
                <c:pt idx="174">
                  <c:v>0</c:v>
                </c:pt>
                <c:pt idx="175">
                  <c:v>9.1399999999999988</c:v>
                </c:pt>
                <c:pt idx="176">
                  <c:v>16.257999999999999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16.080000000000002</c:v>
                </c:pt>
                <c:pt idx="182">
                  <c:v>0</c:v>
                </c:pt>
                <c:pt idx="183">
                  <c:v>2.56</c:v>
                </c:pt>
                <c:pt idx="184">
                  <c:v>0</c:v>
                </c:pt>
                <c:pt idx="185">
                  <c:v>5.2166666666666668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3.258</c:v>
                </c:pt>
                <c:pt idx="190">
                  <c:v>0</c:v>
                </c:pt>
                <c:pt idx="191">
                  <c:v>3.0200000000000005</c:v>
                </c:pt>
                <c:pt idx="192">
                  <c:v>8.92</c:v>
                </c:pt>
                <c:pt idx="193">
                  <c:v>3.0524999999999998</c:v>
                </c:pt>
                <c:pt idx="194">
                  <c:v>0</c:v>
                </c:pt>
                <c:pt idx="195">
                  <c:v>31.95</c:v>
                </c:pt>
                <c:pt idx="196">
                  <c:v>0</c:v>
                </c:pt>
                <c:pt idx="197">
                  <c:v>16.25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15.977499999999999</c:v>
                </c:pt>
                <c:pt idx="203">
                  <c:v>24.95</c:v>
                </c:pt>
                <c:pt idx="204">
                  <c:v>0</c:v>
                </c:pt>
                <c:pt idx="205">
                  <c:v>28.618000000000002</c:v>
                </c:pt>
                <c:pt idx="206">
                  <c:v>0</c:v>
                </c:pt>
                <c:pt idx="207">
                  <c:v>0</c:v>
                </c:pt>
                <c:pt idx="208">
                  <c:v>113.04</c:v>
                </c:pt>
                <c:pt idx="209">
                  <c:v>22.637999999999998</c:v>
                </c:pt>
                <c:pt idx="210">
                  <c:v>0</c:v>
                </c:pt>
                <c:pt idx="211">
                  <c:v>25.574999999999999</c:v>
                </c:pt>
                <c:pt idx="212">
                  <c:v>0</c:v>
                </c:pt>
                <c:pt idx="213">
                  <c:v>0</c:v>
                </c:pt>
                <c:pt idx="214">
                  <c:v>3.3019999999999996</c:v>
                </c:pt>
                <c:pt idx="215">
                  <c:v>18.84</c:v>
                </c:pt>
                <c:pt idx="216">
                  <c:v>0.39</c:v>
                </c:pt>
                <c:pt idx="217">
                  <c:v>2.1019999999999999</c:v>
                </c:pt>
                <c:pt idx="218">
                  <c:v>10.618</c:v>
                </c:pt>
                <c:pt idx="219">
                  <c:v>5.0439999999999996</c:v>
                </c:pt>
                <c:pt idx="220">
                  <c:v>0</c:v>
                </c:pt>
                <c:pt idx="221">
                  <c:v>30.46</c:v>
                </c:pt>
                <c:pt idx="222">
                  <c:v>11.84</c:v>
                </c:pt>
                <c:pt idx="223">
                  <c:v>2.56</c:v>
                </c:pt>
                <c:pt idx="224">
                  <c:v>2.9240000000000004</c:v>
                </c:pt>
                <c:pt idx="225">
                  <c:v>5.5220000000000002</c:v>
                </c:pt>
                <c:pt idx="226">
                  <c:v>13.157999999999998</c:v>
                </c:pt>
                <c:pt idx="227">
                  <c:v>0.6</c:v>
                </c:pt>
                <c:pt idx="228">
                  <c:v>9.3580000000000005</c:v>
                </c:pt>
                <c:pt idx="229">
                  <c:v>7.2040000000000006</c:v>
                </c:pt>
                <c:pt idx="230">
                  <c:v>0</c:v>
                </c:pt>
                <c:pt idx="231">
                  <c:v>15.770000000000001</c:v>
                </c:pt>
                <c:pt idx="232">
                  <c:v>12.951666666666666</c:v>
                </c:pt>
                <c:pt idx="233">
                  <c:v>0</c:v>
                </c:pt>
                <c:pt idx="234">
                  <c:v>0</c:v>
                </c:pt>
                <c:pt idx="235">
                  <c:v>15.766666666666666</c:v>
                </c:pt>
                <c:pt idx="236">
                  <c:v>13.498333333333333</c:v>
                </c:pt>
                <c:pt idx="237">
                  <c:v>0</c:v>
                </c:pt>
                <c:pt idx="238">
                  <c:v>0.55166666666666675</c:v>
                </c:pt>
                <c:pt idx="239">
                  <c:v>26.948333333333334</c:v>
                </c:pt>
                <c:pt idx="240">
                  <c:v>0</c:v>
                </c:pt>
                <c:pt idx="241">
                  <c:v>7.3499999999999988</c:v>
                </c:pt>
                <c:pt idx="242">
                  <c:v>0.77500000000000002</c:v>
                </c:pt>
                <c:pt idx="243">
                  <c:v>0</c:v>
                </c:pt>
                <c:pt idx="244">
                  <c:v>26.216666666666665</c:v>
                </c:pt>
                <c:pt idx="245">
                  <c:v>0</c:v>
                </c:pt>
                <c:pt idx="246">
                  <c:v>0</c:v>
                </c:pt>
                <c:pt idx="247">
                  <c:v>11.385</c:v>
                </c:pt>
                <c:pt idx="248">
                  <c:v>0</c:v>
                </c:pt>
                <c:pt idx="249">
                  <c:v>15.966666666666669</c:v>
                </c:pt>
                <c:pt idx="250">
                  <c:v>3.0933333333333333</c:v>
                </c:pt>
                <c:pt idx="251">
                  <c:v>1.1666666666666667</c:v>
                </c:pt>
                <c:pt idx="252">
                  <c:v>2.15</c:v>
                </c:pt>
                <c:pt idx="253">
                  <c:v>20.65</c:v>
                </c:pt>
                <c:pt idx="254">
                  <c:v>0</c:v>
                </c:pt>
                <c:pt idx="255">
                  <c:v>0</c:v>
                </c:pt>
                <c:pt idx="256">
                  <c:v>6.5666666666666664</c:v>
                </c:pt>
                <c:pt idx="257">
                  <c:v>64.899999999999991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5.5683333333333325</c:v>
                </c:pt>
                <c:pt idx="264">
                  <c:v>23.281666666666666</c:v>
                </c:pt>
                <c:pt idx="265">
                  <c:v>2.6833333333333336</c:v>
                </c:pt>
                <c:pt idx="266">
                  <c:v>7.4666666666666659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1.45</c:v>
                </c:pt>
                <c:pt idx="273">
                  <c:v>92.118333333333339</c:v>
                </c:pt>
                <c:pt idx="274">
                  <c:v>0.13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2.1983333333333333</c:v>
                </c:pt>
                <c:pt idx="286">
                  <c:v>0</c:v>
                </c:pt>
                <c:pt idx="287">
                  <c:v>7.1000000000000005</c:v>
                </c:pt>
                <c:pt idx="288">
                  <c:v>0</c:v>
                </c:pt>
                <c:pt idx="289">
                  <c:v>0</c:v>
                </c:pt>
                <c:pt idx="290">
                  <c:v>2.6666666666666665</c:v>
                </c:pt>
                <c:pt idx="291">
                  <c:v>16.14</c:v>
                </c:pt>
                <c:pt idx="292">
                  <c:v>0</c:v>
                </c:pt>
                <c:pt idx="293">
                  <c:v>0</c:v>
                </c:pt>
                <c:pt idx="294">
                  <c:v>0.77499999999999991</c:v>
                </c:pt>
                <c:pt idx="295">
                  <c:v>17.383333333333336</c:v>
                </c:pt>
                <c:pt idx="296">
                  <c:v>0.58333333333333337</c:v>
                </c:pt>
                <c:pt idx="297">
                  <c:v>0</c:v>
                </c:pt>
                <c:pt idx="298">
                  <c:v>16.283333333333335</c:v>
                </c:pt>
                <c:pt idx="299">
                  <c:v>5.1849999999999996</c:v>
                </c:pt>
                <c:pt idx="300">
                  <c:v>0</c:v>
                </c:pt>
                <c:pt idx="301">
                  <c:v>9.3683333333333341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5.4483333333333333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0E-46FA-B858-CEE9A10B6F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9521072"/>
        <c:axId val="139531408"/>
      </c:barChart>
      <c:dateAx>
        <c:axId val="139521072"/>
        <c:scaling>
          <c:orientation val="minMax"/>
        </c:scaling>
        <c:delete val="0"/>
        <c:axPos val="b"/>
        <c:numFmt formatCode="[$-409]d\-mmm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9531408"/>
        <c:crosses val="autoZero"/>
        <c:auto val="1"/>
        <c:lblOffset val="100"/>
        <c:baseTimeUnit val="days"/>
        <c:majorUnit val="10"/>
        <c:majorTimeUnit val="days"/>
        <c:minorUnit val="5"/>
        <c:minorTimeUnit val="days"/>
      </c:dateAx>
      <c:valAx>
        <c:axId val="139531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Rainfall (mm/24Hrs)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9521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'WGO 2021'!$O$6</c:f>
              <c:strCache>
                <c:ptCount val="1"/>
                <c:pt idx="0">
                  <c:v>YTD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'WGO 2021'!$K$7:$K$18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'WGO 2021'!$O$7:$O$18</c:f>
              <c:numCache>
                <c:formatCode>General</c:formatCode>
                <c:ptCount val="12"/>
                <c:pt idx="0">
                  <c:v>0</c:v>
                </c:pt>
                <c:pt idx="1">
                  <c:v>10.736666666666666</c:v>
                </c:pt>
                <c:pt idx="2" formatCode="0">
                  <c:v>14.57</c:v>
                </c:pt>
                <c:pt idx="3" formatCode="0">
                  <c:v>32.543333333333337</c:v>
                </c:pt>
                <c:pt idx="4" formatCode="0">
                  <c:v>144.91333333333336</c:v>
                </c:pt>
                <c:pt idx="5" formatCode="0">
                  <c:v>323.00266666666664</c:v>
                </c:pt>
                <c:pt idx="6" formatCode="0">
                  <c:v>644.10833333333335</c:v>
                </c:pt>
                <c:pt idx="7" formatCode="0">
                  <c:v>861.64200000000005</c:v>
                </c:pt>
                <c:pt idx="8" formatCode="0">
                  <c:v>1054.1869999999999</c:v>
                </c:pt>
                <c:pt idx="9" formatCode="0">
                  <c:v>1224.1186666666665</c:v>
                </c:pt>
                <c:pt idx="10" formatCode="0">
                  <c:v>1229.5669999999998</c:v>
                </c:pt>
                <c:pt idx="11" formatCode="0">
                  <c:v>1229.5669999999998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08-4307-9A17-8EB84DB742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9529776"/>
        <c:axId val="139530320"/>
      </c:lineChart>
      <c:catAx>
        <c:axId val="139529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9530320"/>
        <c:crosses val="autoZero"/>
        <c:auto val="1"/>
        <c:lblAlgn val="ctr"/>
        <c:lblOffset val="100"/>
        <c:noMultiLvlLbl val="0"/>
      </c:catAx>
      <c:valAx>
        <c:axId val="139530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Rainfall (mm)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9529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'WGO 2022'!$M$6</c:f>
              <c:strCache>
                <c:ptCount val="1"/>
                <c:pt idx="0">
                  <c:v>Rain (mm)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'WGO 2022'!$L$7:$L$18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'WGO 2022'!$M$7:$M$18</c:f>
              <c:numCache>
                <c:formatCode>0.0</c:formatCode>
                <c:ptCount val="12"/>
                <c:pt idx="0" formatCode="General">
                  <c:v>0</c:v>
                </c:pt>
                <c:pt idx="1">
                  <c:v>0</c:v>
                </c:pt>
                <c:pt idx="2" formatCode="0">
                  <c:v>2.6633333333333336</c:v>
                </c:pt>
                <c:pt idx="3" formatCode="0">
                  <c:v>68.924166666666665</c:v>
                </c:pt>
                <c:pt idx="4" formatCode="0">
                  <c:v>95.73833333333333</c:v>
                </c:pt>
                <c:pt idx="5" formatCode="0">
                  <c:v>273.30166666666662</c:v>
                </c:pt>
                <c:pt idx="6" formatCode="0">
                  <c:v>172.44666666666666</c:v>
                </c:pt>
                <c:pt idx="7" formatCode="0">
                  <c:v>408.47904761904766</c:v>
                </c:pt>
                <c:pt idx="8" formatCode="0">
                  <c:v>196.06428571428569</c:v>
                </c:pt>
                <c:pt idx="9" formatCode="0">
                  <c:v>31.871428571428574</c:v>
                </c:pt>
                <c:pt idx="10" formatCode="0">
                  <c:v>7.0842857142857136</c:v>
                </c:pt>
                <c:pt idx="11" formatCode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AA-4D52-B208-745DF45D26F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9528688"/>
        <c:axId val="139524336"/>
      </c:barChart>
      <c:lineChart>
        <c:grouping val="stacked"/>
        <c:varyColors val="0"/>
        <c:ser>
          <c:idx val="1"/>
          <c:order val="1"/>
          <c:tx>
            <c:strRef>
              <c:f>'WGO 2022'!$N$6</c:f>
              <c:strCache>
                <c:ptCount val="1"/>
                <c:pt idx="0">
                  <c:v>Number of Rainy Days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'WGO 2022'!$L$7:$L$18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'WGO 2022'!$N$7:$N$18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6</c:v>
                </c:pt>
                <c:pt idx="5">
                  <c:v>15</c:v>
                </c:pt>
                <c:pt idx="6">
                  <c:v>19</c:v>
                </c:pt>
                <c:pt idx="7">
                  <c:v>18</c:v>
                </c:pt>
                <c:pt idx="8">
                  <c:v>19</c:v>
                </c:pt>
                <c:pt idx="9">
                  <c:v>5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0AA-4D52-B208-745DF45D26F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39528144"/>
        <c:axId val="139526512"/>
      </c:lineChart>
      <c:catAx>
        <c:axId val="139528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9524336"/>
        <c:crosses val="autoZero"/>
        <c:auto val="1"/>
        <c:lblAlgn val="ctr"/>
        <c:lblOffset val="100"/>
        <c:noMultiLvlLbl val="0"/>
      </c:catAx>
      <c:valAx>
        <c:axId val="139524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1"/>
                  <a:t>Rainfall (mm/month)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9528688"/>
        <c:crosses val="autoZero"/>
        <c:crossBetween val="between"/>
      </c:valAx>
      <c:valAx>
        <c:axId val="139526512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Days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9528144"/>
        <c:crosses val="max"/>
        <c:crossBetween val="between"/>
      </c:valAx>
      <c:catAx>
        <c:axId val="13952814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3952651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'WGO 2022'!$C$1</c:f>
              <c:strCache>
                <c:ptCount val="1"/>
                <c:pt idx="0">
                  <c:v>Average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numRef>
              <c:f>'WGO 2022'!$B$2:$B$365</c:f>
              <c:numCache>
                <c:formatCode>[$-409]d\-mmm\-yy;@</c:formatCode>
                <c:ptCount val="364"/>
                <c:pt idx="0">
                  <c:v>44562</c:v>
                </c:pt>
                <c:pt idx="1">
                  <c:v>44563</c:v>
                </c:pt>
                <c:pt idx="2">
                  <c:v>44564</c:v>
                </c:pt>
                <c:pt idx="3">
                  <c:v>44565</c:v>
                </c:pt>
                <c:pt idx="4">
                  <c:v>44566</c:v>
                </c:pt>
                <c:pt idx="5">
                  <c:v>44567</c:v>
                </c:pt>
                <c:pt idx="6">
                  <c:v>44568</c:v>
                </c:pt>
                <c:pt idx="7">
                  <c:v>44569</c:v>
                </c:pt>
                <c:pt idx="8">
                  <c:v>44570</c:v>
                </c:pt>
                <c:pt idx="9">
                  <c:v>44571</c:v>
                </c:pt>
                <c:pt idx="10">
                  <c:v>44572</c:v>
                </c:pt>
                <c:pt idx="11">
                  <c:v>44573</c:v>
                </c:pt>
                <c:pt idx="12">
                  <c:v>44574</c:v>
                </c:pt>
                <c:pt idx="13">
                  <c:v>44575</c:v>
                </c:pt>
                <c:pt idx="14">
                  <c:v>44576</c:v>
                </c:pt>
                <c:pt idx="15">
                  <c:v>44577</c:v>
                </c:pt>
                <c:pt idx="16">
                  <c:v>44578</c:v>
                </c:pt>
                <c:pt idx="17">
                  <c:v>44579</c:v>
                </c:pt>
                <c:pt idx="18">
                  <c:v>44580</c:v>
                </c:pt>
                <c:pt idx="19">
                  <c:v>44581</c:v>
                </c:pt>
                <c:pt idx="20">
                  <c:v>44582</c:v>
                </c:pt>
                <c:pt idx="21">
                  <c:v>44583</c:v>
                </c:pt>
                <c:pt idx="22">
                  <c:v>44584</c:v>
                </c:pt>
                <c:pt idx="23">
                  <c:v>44585</c:v>
                </c:pt>
                <c:pt idx="24">
                  <c:v>44586</c:v>
                </c:pt>
                <c:pt idx="25">
                  <c:v>44587</c:v>
                </c:pt>
                <c:pt idx="26">
                  <c:v>44588</c:v>
                </c:pt>
                <c:pt idx="27">
                  <c:v>44589</c:v>
                </c:pt>
                <c:pt idx="28">
                  <c:v>44590</c:v>
                </c:pt>
                <c:pt idx="29">
                  <c:v>44591</c:v>
                </c:pt>
                <c:pt idx="30">
                  <c:v>44592</c:v>
                </c:pt>
                <c:pt idx="31">
                  <c:v>44593</c:v>
                </c:pt>
                <c:pt idx="32">
                  <c:v>44594</c:v>
                </c:pt>
                <c:pt idx="33">
                  <c:v>44595</c:v>
                </c:pt>
                <c:pt idx="34">
                  <c:v>44596</c:v>
                </c:pt>
                <c:pt idx="35">
                  <c:v>44597</c:v>
                </c:pt>
                <c:pt idx="36">
                  <c:v>44598</c:v>
                </c:pt>
                <c:pt idx="37">
                  <c:v>44599</c:v>
                </c:pt>
                <c:pt idx="38">
                  <c:v>44600</c:v>
                </c:pt>
                <c:pt idx="39">
                  <c:v>44601</c:v>
                </c:pt>
                <c:pt idx="40">
                  <c:v>44602</c:v>
                </c:pt>
                <c:pt idx="41">
                  <c:v>44603</c:v>
                </c:pt>
                <c:pt idx="42">
                  <c:v>44604</c:v>
                </c:pt>
                <c:pt idx="43">
                  <c:v>44605</c:v>
                </c:pt>
                <c:pt idx="44">
                  <c:v>44606</c:v>
                </c:pt>
                <c:pt idx="45">
                  <c:v>44607</c:v>
                </c:pt>
                <c:pt idx="46">
                  <c:v>44608</c:v>
                </c:pt>
                <c:pt idx="47">
                  <c:v>44609</c:v>
                </c:pt>
                <c:pt idx="48">
                  <c:v>44610</c:v>
                </c:pt>
                <c:pt idx="49">
                  <c:v>44611</c:v>
                </c:pt>
                <c:pt idx="50">
                  <c:v>44612</c:v>
                </c:pt>
                <c:pt idx="51">
                  <c:v>44613</c:v>
                </c:pt>
                <c:pt idx="52">
                  <c:v>44614</c:v>
                </c:pt>
                <c:pt idx="53">
                  <c:v>44615</c:v>
                </c:pt>
                <c:pt idx="54">
                  <c:v>44616</c:v>
                </c:pt>
                <c:pt idx="55">
                  <c:v>44617</c:v>
                </c:pt>
                <c:pt idx="56">
                  <c:v>44618</c:v>
                </c:pt>
                <c:pt idx="57">
                  <c:v>44619</c:v>
                </c:pt>
                <c:pt idx="58">
                  <c:v>44620</c:v>
                </c:pt>
                <c:pt idx="59">
                  <c:v>44621</c:v>
                </c:pt>
                <c:pt idx="60">
                  <c:v>44622</c:v>
                </c:pt>
                <c:pt idx="61">
                  <c:v>44623</c:v>
                </c:pt>
                <c:pt idx="62">
                  <c:v>44624</c:v>
                </c:pt>
                <c:pt idx="63">
                  <c:v>44625</c:v>
                </c:pt>
                <c:pt idx="64">
                  <c:v>44626</c:v>
                </c:pt>
                <c:pt idx="65">
                  <c:v>44627</c:v>
                </c:pt>
                <c:pt idx="66">
                  <c:v>44628</c:v>
                </c:pt>
                <c:pt idx="67">
                  <c:v>44629</c:v>
                </c:pt>
                <c:pt idx="68">
                  <c:v>44630</c:v>
                </c:pt>
                <c:pt idx="69">
                  <c:v>44631</c:v>
                </c:pt>
                <c:pt idx="70">
                  <c:v>44632</c:v>
                </c:pt>
                <c:pt idx="71">
                  <c:v>44633</c:v>
                </c:pt>
                <c:pt idx="72">
                  <c:v>44634</c:v>
                </c:pt>
                <c:pt idx="73">
                  <c:v>44635</c:v>
                </c:pt>
                <c:pt idx="74">
                  <c:v>44636</c:v>
                </c:pt>
                <c:pt idx="75">
                  <c:v>44637</c:v>
                </c:pt>
                <c:pt idx="76">
                  <c:v>44638</c:v>
                </c:pt>
                <c:pt idx="77">
                  <c:v>44639</c:v>
                </c:pt>
                <c:pt idx="78">
                  <c:v>44640</c:v>
                </c:pt>
                <c:pt idx="79">
                  <c:v>44641</c:v>
                </c:pt>
                <c:pt idx="80">
                  <c:v>44642</c:v>
                </c:pt>
                <c:pt idx="81">
                  <c:v>44643</c:v>
                </c:pt>
                <c:pt idx="82">
                  <c:v>44644</c:v>
                </c:pt>
                <c:pt idx="83">
                  <c:v>44645</c:v>
                </c:pt>
                <c:pt idx="84">
                  <c:v>44646</c:v>
                </c:pt>
                <c:pt idx="85">
                  <c:v>44647</c:v>
                </c:pt>
                <c:pt idx="86">
                  <c:v>44648</c:v>
                </c:pt>
                <c:pt idx="87">
                  <c:v>44649</c:v>
                </c:pt>
                <c:pt idx="88">
                  <c:v>44650</c:v>
                </c:pt>
                <c:pt idx="89">
                  <c:v>44651</c:v>
                </c:pt>
                <c:pt idx="90">
                  <c:v>44652</c:v>
                </c:pt>
                <c:pt idx="91">
                  <c:v>44653</c:v>
                </c:pt>
                <c:pt idx="92">
                  <c:v>44654</c:v>
                </c:pt>
                <c:pt idx="93">
                  <c:v>44655</c:v>
                </c:pt>
                <c:pt idx="94">
                  <c:v>44656</c:v>
                </c:pt>
                <c:pt idx="95">
                  <c:v>44657</c:v>
                </c:pt>
                <c:pt idx="96">
                  <c:v>44658</c:v>
                </c:pt>
                <c:pt idx="97">
                  <c:v>44659</c:v>
                </c:pt>
                <c:pt idx="98">
                  <c:v>44660</c:v>
                </c:pt>
                <c:pt idx="99">
                  <c:v>44661</c:v>
                </c:pt>
                <c:pt idx="100">
                  <c:v>44662</c:v>
                </c:pt>
                <c:pt idx="101">
                  <c:v>44663</c:v>
                </c:pt>
                <c:pt idx="102">
                  <c:v>44664</c:v>
                </c:pt>
                <c:pt idx="103">
                  <c:v>44665</c:v>
                </c:pt>
                <c:pt idx="104">
                  <c:v>44666</c:v>
                </c:pt>
                <c:pt idx="105">
                  <c:v>44667</c:v>
                </c:pt>
                <c:pt idx="106">
                  <c:v>44668</c:v>
                </c:pt>
                <c:pt idx="107">
                  <c:v>44669</c:v>
                </c:pt>
                <c:pt idx="108">
                  <c:v>44670</c:v>
                </c:pt>
                <c:pt idx="109">
                  <c:v>44671</c:v>
                </c:pt>
                <c:pt idx="110">
                  <c:v>44672</c:v>
                </c:pt>
                <c:pt idx="111">
                  <c:v>44673</c:v>
                </c:pt>
                <c:pt idx="112">
                  <c:v>44674</c:v>
                </c:pt>
                <c:pt idx="113">
                  <c:v>44675</c:v>
                </c:pt>
                <c:pt idx="114">
                  <c:v>44676</c:v>
                </c:pt>
                <c:pt idx="115">
                  <c:v>44677</c:v>
                </c:pt>
                <c:pt idx="116">
                  <c:v>44678</c:v>
                </c:pt>
                <c:pt idx="117">
                  <c:v>44679</c:v>
                </c:pt>
                <c:pt idx="118">
                  <c:v>44680</c:v>
                </c:pt>
                <c:pt idx="119">
                  <c:v>44681</c:v>
                </c:pt>
                <c:pt idx="120">
                  <c:v>44682</c:v>
                </c:pt>
                <c:pt idx="121">
                  <c:v>44683</c:v>
                </c:pt>
                <c:pt idx="122">
                  <c:v>44684</c:v>
                </c:pt>
                <c:pt idx="123">
                  <c:v>44685</c:v>
                </c:pt>
                <c:pt idx="124">
                  <c:v>44686</c:v>
                </c:pt>
                <c:pt idx="125">
                  <c:v>44687</c:v>
                </c:pt>
                <c:pt idx="126">
                  <c:v>44688</c:v>
                </c:pt>
                <c:pt idx="127">
                  <c:v>44689</c:v>
                </c:pt>
                <c:pt idx="128">
                  <c:v>44690</c:v>
                </c:pt>
                <c:pt idx="129">
                  <c:v>44691</c:v>
                </c:pt>
                <c:pt idx="130">
                  <c:v>44692</c:v>
                </c:pt>
                <c:pt idx="131">
                  <c:v>44693</c:v>
                </c:pt>
                <c:pt idx="132">
                  <c:v>44694</c:v>
                </c:pt>
                <c:pt idx="133">
                  <c:v>44695</c:v>
                </c:pt>
                <c:pt idx="134">
                  <c:v>44696</c:v>
                </c:pt>
                <c:pt idx="135">
                  <c:v>44697</c:v>
                </c:pt>
                <c:pt idx="136">
                  <c:v>44698</c:v>
                </c:pt>
                <c:pt idx="137">
                  <c:v>44699</c:v>
                </c:pt>
                <c:pt idx="138">
                  <c:v>44700</c:v>
                </c:pt>
                <c:pt idx="139">
                  <c:v>44701</c:v>
                </c:pt>
                <c:pt idx="140">
                  <c:v>44702</c:v>
                </c:pt>
                <c:pt idx="141">
                  <c:v>44703</c:v>
                </c:pt>
                <c:pt idx="142">
                  <c:v>44704</c:v>
                </c:pt>
                <c:pt idx="143">
                  <c:v>44705</c:v>
                </c:pt>
                <c:pt idx="144">
                  <c:v>44706</c:v>
                </c:pt>
                <c:pt idx="145">
                  <c:v>44707</c:v>
                </c:pt>
                <c:pt idx="146">
                  <c:v>44708</c:v>
                </c:pt>
                <c:pt idx="147">
                  <c:v>44709</c:v>
                </c:pt>
                <c:pt idx="148">
                  <c:v>44710</c:v>
                </c:pt>
                <c:pt idx="149">
                  <c:v>44711</c:v>
                </c:pt>
                <c:pt idx="150">
                  <c:v>44712</c:v>
                </c:pt>
                <c:pt idx="151">
                  <c:v>44713</c:v>
                </c:pt>
                <c:pt idx="152">
                  <c:v>44714</c:v>
                </c:pt>
                <c:pt idx="153">
                  <c:v>44715</c:v>
                </c:pt>
                <c:pt idx="154">
                  <c:v>44716</c:v>
                </c:pt>
                <c:pt idx="155">
                  <c:v>44717</c:v>
                </c:pt>
                <c:pt idx="156">
                  <c:v>44718</c:v>
                </c:pt>
                <c:pt idx="157">
                  <c:v>44719</c:v>
                </c:pt>
                <c:pt idx="158">
                  <c:v>44720</c:v>
                </c:pt>
                <c:pt idx="159">
                  <c:v>44721</c:v>
                </c:pt>
                <c:pt idx="160">
                  <c:v>44722</c:v>
                </c:pt>
                <c:pt idx="161">
                  <c:v>44723</c:v>
                </c:pt>
                <c:pt idx="162">
                  <c:v>44724</c:v>
                </c:pt>
                <c:pt idx="163">
                  <c:v>44725</c:v>
                </c:pt>
                <c:pt idx="164">
                  <c:v>44726</c:v>
                </c:pt>
                <c:pt idx="165">
                  <c:v>44727</c:v>
                </c:pt>
                <c:pt idx="166">
                  <c:v>44728</c:v>
                </c:pt>
                <c:pt idx="167">
                  <c:v>44729</c:v>
                </c:pt>
                <c:pt idx="168">
                  <c:v>44730</c:v>
                </c:pt>
                <c:pt idx="169">
                  <c:v>44731</c:v>
                </c:pt>
                <c:pt idx="170">
                  <c:v>44732</c:v>
                </c:pt>
                <c:pt idx="171">
                  <c:v>44733</c:v>
                </c:pt>
                <c:pt idx="172">
                  <c:v>44734</c:v>
                </c:pt>
                <c:pt idx="173">
                  <c:v>44735</c:v>
                </c:pt>
                <c:pt idx="174">
                  <c:v>44736</c:v>
                </c:pt>
                <c:pt idx="175">
                  <c:v>44737</c:v>
                </c:pt>
                <c:pt idx="176">
                  <c:v>44738</c:v>
                </c:pt>
                <c:pt idx="177">
                  <c:v>44739</c:v>
                </c:pt>
                <c:pt idx="178">
                  <c:v>44740</c:v>
                </c:pt>
                <c:pt idx="179">
                  <c:v>44741</c:v>
                </c:pt>
                <c:pt idx="180">
                  <c:v>44742</c:v>
                </c:pt>
                <c:pt idx="181">
                  <c:v>44743</c:v>
                </c:pt>
                <c:pt idx="182">
                  <c:v>44744</c:v>
                </c:pt>
                <c:pt idx="183">
                  <c:v>44745</c:v>
                </c:pt>
                <c:pt idx="184">
                  <c:v>44746</c:v>
                </c:pt>
                <c:pt idx="185">
                  <c:v>44747</c:v>
                </c:pt>
                <c:pt idx="186">
                  <c:v>44748</c:v>
                </c:pt>
                <c:pt idx="187">
                  <c:v>44749</c:v>
                </c:pt>
                <c:pt idx="188">
                  <c:v>44750</c:v>
                </c:pt>
                <c:pt idx="189">
                  <c:v>44751</c:v>
                </c:pt>
                <c:pt idx="190">
                  <c:v>44752</c:v>
                </c:pt>
                <c:pt idx="191">
                  <c:v>44753</c:v>
                </c:pt>
                <c:pt idx="192">
                  <c:v>44754</c:v>
                </c:pt>
                <c:pt idx="193">
                  <c:v>44755</c:v>
                </c:pt>
                <c:pt idx="194">
                  <c:v>44756</c:v>
                </c:pt>
                <c:pt idx="195">
                  <c:v>44757</c:v>
                </c:pt>
                <c:pt idx="196">
                  <c:v>44758</c:v>
                </c:pt>
                <c:pt idx="197">
                  <c:v>44759</c:v>
                </c:pt>
                <c:pt idx="198">
                  <c:v>44760</c:v>
                </c:pt>
                <c:pt idx="199">
                  <c:v>44761</c:v>
                </c:pt>
                <c:pt idx="200">
                  <c:v>44762</c:v>
                </c:pt>
                <c:pt idx="201">
                  <c:v>44763</c:v>
                </c:pt>
                <c:pt idx="202">
                  <c:v>44764</c:v>
                </c:pt>
                <c:pt idx="203">
                  <c:v>44765</c:v>
                </c:pt>
                <c:pt idx="204">
                  <c:v>44766</c:v>
                </c:pt>
                <c:pt idx="205">
                  <c:v>44767</c:v>
                </c:pt>
                <c:pt idx="206">
                  <c:v>44768</c:v>
                </c:pt>
                <c:pt idx="207">
                  <c:v>44769</c:v>
                </c:pt>
                <c:pt idx="208">
                  <c:v>44770</c:v>
                </c:pt>
                <c:pt idx="209">
                  <c:v>44771</c:v>
                </c:pt>
                <c:pt idx="210">
                  <c:v>44772</c:v>
                </c:pt>
                <c:pt idx="211">
                  <c:v>44773</c:v>
                </c:pt>
                <c:pt idx="212">
                  <c:v>44774</c:v>
                </c:pt>
                <c:pt idx="213">
                  <c:v>44775</c:v>
                </c:pt>
                <c:pt idx="214">
                  <c:v>44776</c:v>
                </c:pt>
                <c:pt idx="215">
                  <c:v>44777</c:v>
                </c:pt>
                <c:pt idx="216">
                  <c:v>44778</c:v>
                </c:pt>
                <c:pt idx="217">
                  <c:v>44779</c:v>
                </c:pt>
                <c:pt idx="218">
                  <c:v>44780</c:v>
                </c:pt>
                <c:pt idx="219">
                  <c:v>44781</c:v>
                </c:pt>
                <c:pt idx="220">
                  <c:v>44782</c:v>
                </c:pt>
                <c:pt idx="221">
                  <c:v>44783</c:v>
                </c:pt>
                <c:pt idx="222">
                  <c:v>44784</c:v>
                </c:pt>
                <c:pt idx="223">
                  <c:v>44785</c:v>
                </c:pt>
                <c:pt idx="224">
                  <c:v>44786</c:v>
                </c:pt>
                <c:pt idx="225">
                  <c:v>44787</c:v>
                </c:pt>
                <c:pt idx="226">
                  <c:v>44788</c:v>
                </c:pt>
                <c:pt idx="227">
                  <c:v>44789</c:v>
                </c:pt>
                <c:pt idx="228">
                  <c:v>44790</c:v>
                </c:pt>
                <c:pt idx="229">
                  <c:v>44791</c:v>
                </c:pt>
                <c:pt idx="230">
                  <c:v>44792</c:v>
                </c:pt>
                <c:pt idx="231">
                  <c:v>44793</c:v>
                </c:pt>
                <c:pt idx="232">
                  <c:v>44794</c:v>
                </c:pt>
                <c:pt idx="233">
                  <c:v>44795</c:v>
                </c:pt>
                <c:pt idx="234">
                  <c:v>44796</c:v>
                </c:pt>
                <c:pt idx="235">
                  <c:v>44797</c:v>
                </c:pt>
                <c:pt idx="236">
                  <c:v>44798</c:v>
                </c:pt>
                <c:pt idx="237">
                  <c:v>44799</c:v>
                </c:pt>
                <c:pt idx="238">
                  <c:v>44800</c:v>
                </c:pt>
                <c:pt idx="239">
                  <c:v>44801</c:v>
                </c:pt>
                <c:pt idx="240">
                  <c:v>44802</c:v>
                </c:pt>
                <c:pt idx="241">
                  <c:v>44803</c:v>
                </c:pt>
                <c:pt idx="242">
                  <c:v>44804</c:v>
                </c:pt>
                <c:pt idx="243">
                  <c:v>44805</c:v>
                </c:pt>
                <c:pt idx="244">
                  <c:v>44806</c:v>
                </c:pt>
                <c:pt idx="245">
                  <c:v>44807</c:v>
                </c:pt>
                <c:pt idx="246">
                  <c:v>44808</c:v>
                </c:pt>
                <c:pt idx="247">
                  <c:v>44809</c:v>
                </c:pt>
                <c:pt idx="248">
                  <c:v>44810</c:v>
                </c:pt>
                <c:pt idx="249">
                  <c:v>44811</c:v>
                </c:pt>
                <c:pt idx="250">
                  <c:v>44812</c:v>
                </c:pt>
                <c:pt idx="251">
                  <c:v>44813</c:v>
                </c:pt>
                <c:pt idx="252">
                  <c:v>44814</c:v>
                </c:pt>
                <c:pt idx="253">
                  <c:v>44815</c:v>
                </c:pt>
                <c:pt idx="254">
                  <c:v>44816</c:v>
                </c:pt>
                <c:pt idx="255">
                  <c:v>44817</c:v>
                </c:pt>
                <c:pt idx="256">
                  <c:v>44818</c:v>
                </c:pt>
                <c:pt idx="257">
                  <c:v>44819</c:v>
                </c:pt>
                <c:pt idx="258">
                  <c:v>44820</c:v>
                </c:pt>
                <c:pt idx="259">
                  <c:v>44821</c:v>
                </c:pt>
                <c:pt idx="260">
                  <c:v>44822</c:v>
                </c:pt>
                <c:pt idx="261">
                  <c:v>44823</c:v>
                </c:pt>
                <c:pt idx="262">
                  <c:v>44824</c:v>
                </c:pt>
                <c:pt idx="263">
                  <c:v>44825</c:v>
                </c:pt>
                <c:pt idx="264">
                  <c:v>44826</c:v>
                </c:pt>
                <c:pt idx="265">
                  <c:v>44827</c:v>
                </c:pt>
                <c:pt idx="266">
                  <c:v>44828</c:v>
                </c:pt>
                <c:pt idx="267">
                  <c:v>44829</c:v>
                </c:pt>
                <c:pt idx="268">
                  <c:v>44830</c:v>
                </c:pt>
                <c:pt idx="269">
                  <c:v>44831</c:v>
                </c:pt>
                <c:pt idx="270">
                  <c:v>44832</c:v>
                </c:pt>
                <c:pt idx="271">
                  <c:v>44833</c:v>
                </c:pt>
                <c:pt idx="272">
                  <c:v>44834</c:v>
                </c:pt>
                <c:pt idx="273">
                  <c:v>44835</c:v>
                </c:pt>
                <c:pt idx="274">
                  <c:v>44836</c:v>
                </c:pt>
                <c:pt idx="275">
                  <c:v>44837</c:v>
                </c:pt>
                <c:pt idx="276">
                  <c:v>44838</c:v>
                </c:pt>
                <c:pt idx="277">
                  <c:v>44839</c:v>
                </c:pt>
                <c:pt idx="278">
                  <c:v>44840</c:v>
                </c:pt>
                <c:pt idx="279">
                  <c:v>44841</c:v>
                </c:pt>
                <c:pt idx="280">
                  <c:v>44842</c:v>
                </c:pt>
                <c:pt idx="281">
                  <c:v>44843</c:v>
                </c:pt>
                <c:pt idx="282">
                  <c:v>44844</c:v>
                </c:pt>
                <c:pt idx="283">
                  <c:v>44845</c:v>
                </c:pt>
                <c:pt idx="284">
                  <c:v>44846</c:v>
                </c:pt>
                <c:pt idx="285">
                  <c:v>44847</c:v>
                </c:pt>
                <c:pt idx="286">
                  <c:v>44848</c:v>
                </c:pt>
                <c:pt idx="287">
                  <c:v>44849</c:v>
                </c:pt>
                <c:pt idx="288">
                  <c:v>44850</c:v>
                </c:pt>
                <c:pt idx="289">
                  <c:v>44851</c:v>
                </c:pt>
                <c:pt idx="290">
                  <c:v>44852</c:v>
                </c:pt>
                <c:pt idx="291">
                  <c:v>44853</c:v>
                </c:pt>
                <c:pt idx="292">
                  <c:v>44854</c:v>
                </c:pt>
                <c:pt idx="293">
                  <c:v>44855</c:v>
                </c:pt>
                <c:pt idx="294">
                  <c:v>44856</c:v>
                </c:pt>
                <c:pt idx="295">
                  <c:v>44857</c:v>
                </c:pt>
                <c:pt idx="296">
                  <c:v>44858</c:v>
                </c:pt>
                <c:pt idx="297">
                  <c:v>44859</c:v>
                </c:pt>
                <c:pt idx="298">
                  <c:v>44860</c:v>
                </c:pt>
                <c:pt idx="299">
                  <c:v>44861</c:v>
                </c:pt>
                <c:pt idx="300">
                  <c:v>44862</c:v>
                </c:pt>
                <c:pt idx="301">
                  <c:v>44863</c:v>
                </c:pt>
                <c:pt idx="302">
                  <c:v>44864</c:v>
                </c:pt>
                <c:pt idx="303">
                  <c:v>44865</c:v>
                </c:pt>
                <c:pt idx="304">
                  <c:v>44866</c:v>
                </c:pt>
                <c:pt idx="305">
                  <c:v>44867</c:v>
                </c:pt>
                <c:pt idx="306">
                  <c:v>44868</c:v>
                </c:pt>
                <c:pt idx="307">
                  <c:v>44869</c:v>
                </c:pt>
                <c:pt idx="308">
                  <c:v>44870</c:v>
                </c:pt>
                <c:pt idx="309">
                  <c:v>44871</c:v>
                </c:pt>
                <c:pt idx="310">
                  <c:v>44872</c:v>
                </c:pt>
                <c:pt idx="311">
                  <c:v>44873</c:v>
                </c:pt>
                <c:pt idx="312">
                  <c:v>44874</c:v>
                </c:pt>
                <c:pt idx="313">
                  <c:v>44875</c:v>
                </c:pt>
                <c:pt idx="314">
                  <c:v>44876</c:v>
                </c:pt>
                <c:pt idx="315">
                  <c:v>44877</c:v>
                </c:pt>
                <c:pt idx="316">
                  <c:v>44878</c:v>
                </c:pt>
                <c:pt idx="317">
                  <c:v>44879</c:v>
                </c:pt>
                <c:pt idx="318">
                  <c:v>44880</c:v>
                </c:pt>
                <c:pt idx="319">
                  <c:v>44881</c:v>
                </c:pt>
                <c:pt idx="320">
                  <c:v>44882</c:v>
                </c:pt>
                <c:pt idx="321">
                  <c:v>44883</c:v>
                </c:pt>
                <c:pt idx="322">
                  <c:v>44884</c:v>
                </c:pt>
                <c:pt idx="323">
                  <c:v>44885</c:v>
                </c:pt>
                <c:pt idx="324">
                  <c:v>44886</c:v>
                </c:pt>
                <c:pt idx="325">
                  <c:v>44887</c:v>
                </c:pt>
                <c:pt idx="326">
                  <c:v>44888</c:v>
                </c:pt>
                <c:pt idx="327">
                  <c:v>44889</c:v>
                </c:pt>
                <c:pt idx="328">
                  <c:v>44890</c:v>
                </c:pt>
                <c:pt idx="329">
                  <c:v>44891</c:v>
                </c:pt>
                <c:pt idx="330">
                  <c:v>44892</c:v>
                </c:pt>
                <c:pt idx="331">
                  <c:v>44893</c:v>
                </c:pt>
                <c:pt idx="332">
                  <c:v>44894</c:v>
                </c:pt>
                <c:pt idx="333">
                  <c:v>44895</c:v>
                </c:pt>
                <c:pt idx="334">
                  <c:v>44896</c:v>
                </c:pt>
                <c:pt idx="335">
                  <c:v>44897</c:v>
                </c:pt>
                <c:pt idx="336">
                  <c:v>44898</c:v>
                </c:pt>
                <c:pt idx="337">
                  <c:v>44899</c:v>
                </c:pt>
                <c:pt idx="338">
                  <c:v>44900</c:v>
                </c:pt>
                <c:pt idx="339">
                  <c:v>44901</c:v>
                </c:pt>
                <c:pt idx="340">
                  <c:v>44902</c:v>
                </c:pt>
                <c:pt idx="341">
                  <c:v>44903</c:v>
                </c:pt>
                <c:pt idx="342">
                  <c:v>44904</c:v>
                </c:pt>
                <c:pt idx="343">
                  <c:v>44905</c:v>
                </c:pt>
                <c:pt idx="344">
                  <c:v>44906</c:v>
                </c:pt>
                <c:pt idx="345">
                  <c:v>44907</c:v>
                </c:pt>
                <c:pt idx="346">
                  <c:v>44908</c:v>
                </c:pt>
                <c:pt idx="347">
                  <c:v>44909</c:v>
                </c:pt>
                <c:pt idx="348">
                  <c:v>44910</c:v>
                </c:pt>
                <c:pt idx="349">
                  <c:v>44911</c:v>
                </c:pt>
                <c:pt idx="350">
                  <c:v>44912</c:v>
                </c:pt>
                <c:pt idx="351">
                  <c:v>44913</c:v>
                </c:pt>
                <c:pt idx="352">
                  <c:v>44914</c:v>
                </c:pt>
                <c:pt idx="353">
                  <c:v>44915</c:v>
                </c:pt>
                <c:pt idx="354">
                  <c:v>44916</c:v>
                </c:pt>
                <c:pt idx="355">
                  <c:v>44917</c:v>
                </c:pt>
                <c:pt idx="356">
                  <c:v>44918</c:v>
                </c:pt>
                <c:pt idx="357">
                  <c:v>44919</c:v>
                </c:pt>
                <c:pt idx="358">
                  <c:v>44920</c:v>
                </c:pt>
                <c:pt idx="359">
                  <c:v>44921</c:v>
                </c:pt>
                <c:pt idx="360">
                  <c:v>44922</c:v>
                </c:pt>
                <c:pt idx="361">
                  <c:v>44923</c:v>
                </c:pt>
                <c:pt idx="362">
                  <c:v>44924</c:v>
                </c:pt>
                <c:pt idx="363">
                  <c:v>44925</c:v>
                </c:pt>
              </c:numCache>
            </c:numRef>
          </c:cat>
          <c:val>
            <c:numRef>
              <c:f>'WGO 2022'!$C$2:$C$365</c:f>
              <c:numCache>
                <c:formatCode>0.00</c:formatCode>
                <c:ptCount val="36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2.4633333333333334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0.2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20.733333333333334</c:v>
                </c:pt>
                <c:pt idx="92">
                  <c:v>0</c:v>
                </c:pt>
                <c:pt idx="93">
                  <c:v>0</c:v>
                </c:pt>
                <c:pt idx="94">
                  <c:v>0.66999999999999993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17.796666666666667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6.3724999999999996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23.099999999999998</c:v>
                </c:pt>
                <c:pt idx="117">
                  <c:v>0.25166666666666665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13.448333333333332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19.501666666666665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17.64</c:v>
                </c:pt>
                <c:pt idx="138">
                  <c:v>0</c:v>
                </c:pt>
                <c:pt idx="139">
                  <c:v>0</c:v>
                </c:pt>
                <c:pt idx="140">
                  <c:v>22.681666666666668</c:v>
                </c:pt>
                <c:pt idx="141">
                  <c:v>0</c:v>
                </c:pt>
                <c:pt idx="142">
                  <c:v>0</c:v>
                </c:pt>
                <c:pt idx="143">
                  <c:v>17.066666666666666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5.3999999999999995</c:v>
                </c:pt>
                <c:pt idx="150">
                  <c:v>0</c:v>
                </c:pt>
                <c:pt idx="151">
                  <c:v>1.4166666666666667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13.65</c:v>
                </c:pt>
                <c:pt idx="157">
                  <c:v>0</c:v>
                </c:pt>
                <c:pt idx="158">
                  <c:v>0.48166666666666669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32.200000000000003</c:v>
                </c:pt>
                <c:pt idx="163">
                  <c:v>0</c:v>
                </c:pt>
                <c:pt idx="164">
                  <c:v>20.32</c:v>
                </c:pt>
                <c:pt idx="165">
                  <c:v>26.2</c:v>
                </c:pt>
                <c:pt idx="166">
                  <c:v>48.519999999999996</c:v>
                </c:pt>
                <c:pt idx="167">
                  <c:v>8.2650000000000006</c:v>
                </c:pt>
                <c:pt idx="168">
                  <c:v>0</c:v>
                </c:pt>
                <c:pt idx="169">
                  <c:v>3.7183333333333333</c:v>
                </c:pt>
                <c:pt idx="170">
                  <c:v>6.0666666666666673</c:v>
                </c:pt>
                <c:pt idx="171">
                  <c:v>0</c:v>
                </c:pt>
                <c:pt idx="172">
                  <c:v>46.579999999999991</c:v>
                </c:pt>
                <c:pt idx="173">
                  <c:v>0</c:v>
                </c:pt>
                <c:pt idx="174">
                  <c:v>0</c:v>
                </c:pt>
                <c:pt idx="175">
                  <c:v>7.8516666666666666</c:v>
                </c:pt>
                <c:pt idx="176">
                  <c:v>0</c:v>
                </c:pt>
                <c:pt idx="177">
                  <c:v>17.885000000000002</c:v>
                </c:pt>
                <c:pt idx="178">
                  <c:v>0</c:v>
                </c:pt>
                <c:pt idx="179">
                  <c:v>2.0816666666666666</c:v>
                </c:pt>
                <c:pt idx="180">
                  <c:v>38.064999999999998</c:v>
                </c:pt>
                <c:pt idx="181">
                  <c:v>8.1666666666666661</c:v>
                </c:pt>
                <c:pt idx="182">
                  <c:v>0</c:v>
                </c:pt>
                <c:pt idx="183">
                  <c:v>1.1071428571428572</c:v>
                </c:pt>
                <c:pt idx="184">
                  <c:v>25.915714285714284</c:v>
                </c:pt>
                <c:pt idx="185">
                  <c:v>7.32</c:v>
                </c:pt>
                <c:pt idx="186">
                  <c:v>16.978571428571428</c:v>
                </c:pt>
                <c:pt idx="187">
                  <c:v>0.31428571428571433</c:v>
                </c:pt>
                <c:pt idx="188">
                  <c:v>4.5200000000000005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11.272857142857143</c:v>
                </c:pt>
                <c:pt idx="196">
                  <c:v>12.522857142857145</c:v>
                </c:pt>
                <c:pt idx="197">
                  <c:v>2.2342857142857144</c:v>
                </c:pt>
                <c:pt idx="198">
                  <c:v>14.700000000000001</c:v>
                </c:pt>
                <c:pt idx="199">
                  <c:v>0.19428571428571431</c:v>
                </c:pt>
                <c:pt idx="200">
                  <c:v>0.43142857142857144</c:v>
                </c:pt>
                <c:pt idx="201">
                  <c:v>0</c:v>
                </c:pt>
                <c:pt idx="202">
                  <c:v>0</c:v>
                </c:pt>
                <c:pt idx="203">
                  <c:v>24.169999999999998</c:v>
                </c:pt>
                <c:pt idx="204">
                  <c:v>3.8585714285714281</c:v>
                </c:pt>
                <c:pt idx="205">
                  <c:v>0</c:v>
                </c:pt>
                <c:pt idx="206">
                  <c:v>15.141428571428571</c:v>
                </c:pt>
                <c:pt idx="207">
                  <c:v>1.4585714285714284</c:v>
                </c:pt>
                <c:pt idx="208">
                  <c:v>2.6857142857142859</c:v>
                </c:pt>
                <c:pt idx="209">
                  <c:v>1.7557142857142856</c:v>
                </c:pt>
                <c:pt idx="210">
                  <c:v>0</c:v>
                </c:pt>
                <c:pt idx="211">
                  <c:v>17.698571428571427</c:v>
                </c:pt>
                <c:pt idx="212">
                  <c:v>18.931428571428572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0.22857142857142859</c:v>
                </c:pt>
                <c:pt idx="217">
                  <c:v>0</c:v>
                </c:pt>
                <c:pt idx="218">
                  <c:v>0</c:v>
                </c:pt>
                <c:pt idx="219">
                  <c:v>8.4157142857142855</c:v>
                </c:pt>
                <c:pt idx="220">
                  <c:v>0</c:v>
                </c:pt>
                <c:pt idx="221">
                  <c:v>0</c:v>
                </c:pt>
                <c:pt idx="222">
                  <c:v>84.742857142857147</c:v>
                </c:pt>
                <c:pt idx="223">
                  <c:v>0.38571428571428573</c:v>
                </c:pt>
                <c:pt idx="224">
                  <c:v>23.928571428571427</c:v>
                </c:pt>
                <c:pt idx="225">
                  <c:v>5.5985714285714279</c:v>
                </c:pt>
                <c:pt idx="226">
                  <c:v>99.455714285714279</c:v>
                </c:pt>
                <c:pt idx="227">
                  <c:v>13.604285714285714</c:v>
                </c:pt>
                <c:pt idx="228">
                  <c:v>0.8928571428571429</c:v>
                </c:pt>
                <c:pt idx="229">
                  <c:v>0</c:v>
                </c:pt>
                <c:pt idx="230">
                  <c:v>11.228571428571428</c:v>
                </c:pt>
                <c:pt idx="231">
                  <c:v>6.3985714285714286</c:v>
                </c:pt>
                <c:pt idx="232">
                  <c:v>0</c:v>
                </c:pt>
                <c:pt idx="233">
                  <c:v>0</c:v>
                </c:pt>
                <c:pt idx="234">
                  <c:v>17.76857142857143</c:v>
                </c:pt>
                <c:pt idx="235">
                  <c:v>0</c:v>
                </c:pt>
                <c:pt idx="236">
                  <c:v>0</c:v>
                </c:pt>
                <c:pt idx="237">
                  <c:v>0.5</c:v>
                </c:pt>
                <c:pt idx="238">
                  <c:v>19.328571428571429</c:v>
                </c:pt>
                <c:pt idx="239">
                  <c:v>25.983333333333334</c:v>
                </c:pt>
                <c:pt idx="240">
                  <c:v>1.8014285714285716</c:v>
                </c:pt>
                <c:pt idx="241">
                  <c:v>0</c:v>
                </c:pt>
                <c:pt idx="242">
                  <c:v>69.285714285714292</c:v>
                </c:pt>
                <c:pt idx="243">
                  <c:v>23.514285714285712</c:v>
                </c:pt>
                <c:pt idx="244">
                  <c:v>0.21428571428571427</c:v>
                </c:pt>
                <c:pt idx="245">
                  <c:v>0</c:v>
                </c:pt>
                <c:pt idx="246">
                  <c:v>0</c:v>
                </c:pt>
                <c:pt idx="247">
                  <c:v>2.8857142857142857</c:v>
                </c:pt>
                <c:pt idx="248">
                  <c:v>0</c:v>
                </c:pt>
                <c:pt idx="249">
                  <c:v>0.8999999999999998</c:v>
                </c:pt>
                <c:pt idx="250">
                  <c:v>1.5</c:v>
                </c:pt>
                <c:pt idx="251">
                  <c:v>14.283333333333333</c:v>
                </c:pt>
                <c:pt idx="252">
                  <c:v>7.5666666666666664</c:v>
                </c:pt>
                <c:pt idx="253">
                  <c:v>0</c:v>
                </c:pt>
                <c:pt idx="254">
                  <c:v>6.55</c:v>
                </c:pt>
                <c:pt idx="255">
                  <c:v>5.1499999999999995</c:v>
                </c:pt>
                <c:pt idx="256">
                  <c:v>0</c:v>
                </c:pt>
                <c:pt idx="257">
                  <c:v>27.083333333333332</c:v>
                </c:pt>
                <c:pt idx="258">
                  <c:v>1.9333333333333333</c:v>
                </c:pt>
                <c:pt idx="259">
                  <c:v>0.33333333333333331</c:v>
                </c:pt>
                <c:pt idx="260">
                  <c:v>0</c:v>
                </c:pt>
                <c:pt idx="261">
                  <c:v>11.528571428571428</c:v>
                </c:pt>
                <c:pt idx="262">
                  <c:v>13.028571428571428</c:v>
                </c:pt>
                <c:pt idx="263">
                  <c:v>9.9428571428571413</c:v>
                </c:pt>
                <c:pt idx="264">
                  <c:v>16.399999999999999</c:v>
                </c:pt>
                <c:pt idx="265">
                  <c:v>0</c:v>
                </c:pt>
                <c:pt idx="266">
                  <c:v>0</c:v>
                </c:pt>
                <c:pt idx="267">
                  <c:v>20.864285714285717</c:v>
                </c:pt>
                <c:pt idx="268">
                  <c:v>8.3857142857142861</c:v>
                </c:pt>
                <c:pt idx="269">
                  <c:v>6.7628571428571425</c:v>
                </c:pt>
                <c:pt idx="270">
                  <c:v>2.0642857142857145</c:v>
                </c:pt>
                <c:pt idx="271">
                  <c:v>0</c:v>
                </c:pt>
                <c:pt idx="272">
                  <c:v>15.172857142857142</c:v>
                </c:pt>
                <c:pt idx="273">
                  <c:v>7.7457142857142856</c:v>
                </c:pt>
                <c:pt idx="274">
                  <c:v>0</c:v>
                </c:pt>
                <c:pt idx="275">
                  <c:v>0</c:v>
                </c:pt>
                <c:pt idx="276">
                  <c:v>0.64428571428571424</c:v>
                </c:pt>
                <c:pt idx="277">
                  <c:v>8.8942857142857132</c:v>
                </c:pt>
                <c:pt idx="278">
                  <c:v>0</c:v>
                </c:pt>
                <c:pt idx="279">
                  <c:v>0</c:v>
                </c:pt>
                <c:pt idx="280">
                  <c:v>0.38571428571428568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14.201428571428574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7.0842857142857136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94-4126-A53E-E231E33509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9521072"/>
        <c:axId val="139531408"/>
      </c:barChart>
      <c:dateAx>
        <c:axId val="139521072"/>
        <c:scaling>
          <c:orientation val="minMax"/>
        </c:scaling>
        <c:delete val="0"/>
        <c:axPos val="b"/>
        <c:numFmt formatCode="[$-409]d\-mmm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9531408"/>
        <c:crosses val="autoZero"/>
        <c:auto val="1"/>
        <c:lblOffset val="100"/>
        <c:baseTimeUnit val="days"/>
        <c:majorUnit val="10"/>
        <c:majorTimeUnit val="days"/>
        <c:minorUnit val="5"/>
        <c:minorTimeUnit val="days"/>
      </c:dateAx>
      <c:valAx>
        <c:axId val="139531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Rainfall (mm/24Hrs)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9521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'WGO 2022'!$P$6</c:f>
              <c:strCache>
                <c:ptCount val="1"/>
                <c:pt idx="0">
                  <c:v>YTD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'WGO 2022'!$L$7:$L$18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'WGO 2022'!$P$7:$P$18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 formatCode="0">
                  <c:v>2.6633333333333336</c:v>
                </c:pt>
                <c:pt idx="3" formatCode="0">
                  <c:v>71.587499999999991</c:v>
                </c:pt>
                <c:pt idx="4" formatCode="0">
                  <c:v>167.32583333333332</c:v>
                </c:pt>
                <c:pt idx="5" formatCode="0">
                  <c:v>440.62749999999994</c:v>
                </c:pt>
                <c:pt idx="6" formatCode="0">
                  <c:v>613.07416666666654</c:v>
                </c:pt>
                <c:pt idx="7" formatCode="0">
                  <c:v>1021.5532142857141</c:v>
                </c:pt>
                <c:pt idx="8" formatCode="0">
                  <c:v>1217.6174999999998</c:v>
                </c:pt>
                <c:pt idx="9" formatCode="0">
                  <c:v>1249.4889285714285</c:v>
                </c:pt>
                <c:pt idx="10" formatCode="0">
                  <c:v>1256.5732142857141</c:v>
                </c:pt>
                <c:pt idx="11" formatCode="0">
                  <c:v>1256.5732142857141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20-4A73-97B5-97401FE111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9529776"/>
        <c:axId val="139530320"/>
      </c:lineChart>
      <c:catAx>
        <c:axId val="139529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9530320"/>
        <c:crosses val="autoZero"/>
        <c:auto val="1"/>
        <c:lblAlgn val="ctr"/>
        <c:lblOffset val="100"/>
        <c:noMultiLvlLbl val="0"/>
      </c:catAx>
      <c:valAx>
        <c:axId val="139530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Rainfall (mm)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9529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'WGO 2023'!$N$6</c:f>
              <c:strCache>
                <c:ptCount val="1"/>
                <c:pt idx="0">
                  <c:v>Rain (mm)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'WGO 2023'!$M$7:$M$18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'WGO 2023'!$N$7:$N$18</c:f>
              <c:numCache>
                <c:formatCode>0.0</c:formatCode>
                <c:ptCount val="12"/>
                <c:pt idx="0" formatCode="General">
                  <c:v>0</c:v>
                </c:pt>
                <c:pt idx="1">
                  <c:v>0.58333333333333337</c:v>
                </c:pt>
                <c:pt idx="2" formatCode="0">
                  <c:v>6.9350000000000005</c:v>
                </c:pt>
                <c:pt idx="3" formatCode="0">
                  <c:v>68.171666666666667</c:v>
                </c:pt>
                <c:pt idx="4" formatCode="0">
                  <c:v>68.592857142857142</c:v>
                </c:pt>
                <c:pt idx="5" formatCode="0">
                  <c:v>166.69571428571425</c:v>
                </c:pt>
                <c:pt idx="6" formatCode="0">
                  <c:v>0</c:v>
                </c:pt>
                <c:pt idx="7" formatCode="0">
                  <c:v>0</c:v>
                </c:pt>
                <c:pt idx="8" formatCode="0">
                  <c:v>0</c:v>
                </c:pt>
                <c:pt idx="9" formatCode="0">
                  <c:v>0</c:v>
                </c:pt>
                <c:pt idx="10" formatCode="0">
                  <c:v>0</c:v>
                </c:pt>
                <c:pt idx="11" formatCode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77-4B7E-85B0-56FB6D6699B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9528688"/>
        <c:axId val="139524336"/>
      </c:barChart>
      <c:lineChart>
        <c:grouping val="stacked"/>
        <c:varyColors val="0"/>
        <c:ser>
          <c:idx val="1"/>
          <c:order val="1"/>
          <c:tx>
            <c:strRef>
              <c:f>'WGO 2023'!$O$6</c:f>
              <c:strCache>
                <c:ptCount val="1"/>
                <c:pt idx="0">
                  <c:v>Number of Rainy Days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'WGO 2023'!$M$7:$M$18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'WGO 2023'!$O$7:$O$18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5</c:v>
                </c:pt>
                <c:pt idx="4">
                  <c:v>8</c:v>
                </c:pt>
                <c:pt idx="5">
                  <c:v>14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277-4B7E-85B0-56FB6D6699B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39528144"/>
        <c:axId val="139526512"/>
      </c:lineChart>
      <c:catAx>
        <c:axId val="139528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9524336"/>
        <c:crosses val="autoZero"/>
        <c:auto val="1"/>
        <c:lblAlgn val="ctr"/>
        <c:lblOffset val="100"/>
        <c:noMultiLvlLbl val="0"/>
      </c:catAx>
      <c:valAx>
        <c:axId val="139524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1"/>
                  <a:t>Rainfall (mm/month)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9528688"/>
        <c:crosses val="autoZero"/>
        <c:crossBetween val="between"/>
      </c:valAx>
      <c:valAx>
        <c:axId val="139526512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Days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9528144"/>
        <c:crosses val="max"/>
        <c:crossBetween val="between"/>
      </c:valAx>
      <c:catAx>
        <c:axId val="13952814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3952651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'WGO 2023'!$C$1</c:f>
              <c:strCache>
                <c:ptCount val="1"/>
                <c:pt idx="0">
                  <c:v>Average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numRef>
              <c:f>'WGO 2023'!$B$2:$B$365</c:f>
              <c:numCache>
                <c:formatCode>[$-409]d\-mmm\-yy;@</c:formatCode>
                <c:ptCount val="364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</c:numCache>
            </c:numRef>
          </c:cat>
          <c:val>
            <c:numRef>
              <c:f>'WGO 2023'!$C$2:$C$365</c:f>
              <c:numCache>
                <c:formatCode>0.00</c:formatCode>
                <c:ptCount val="36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0.58333333333333337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6.2683333333333335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0.66666666666666663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46.88</c:v>
                </c:pt>
                <c:pt idx="95">
                  <c:v>0</c:v>
                </c:pt>
                <c:pt idx="96">
                  <c:v>0</c:v>
                </c:pt>
                <c:pt idx="97">
                  <c:v>3.7916666666666665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10.281666666666666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4.4349999999999996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2.7833333333333332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11.385</c:v>
                </c:pt>
                <c:pt idx="123">
                  <c:v>13.381666666666668</c:v>
                </c:pt>
                <c:pt idx="124">
                  <c:v>1.4833333333333334</c:v>
                </c:pt>
                <c:pt idx="125">
                  <c:v>0</c:v>
                </c:pt>
                <c:pt idx="126">
                  <c:v>4.6499999999999995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1.2857142857142858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5.1714285714285717</c:v>
                </c:pt>
                <c:pt idx="137">
                  <c:v>2.7985714285714289</c:v>
                </c:pt>
                <c:pt idx="138">
                  <c:v>0</c:v>
                </c:pt>
                <c:pt idx="139">
                  <c:v>0</c:v>
                </c:pt>
                <c:pt idx="140">
                  <c:v>4.4142857142857137</c:v>
                </c:pt>
                <c:pt idx="141">
                  <c:v>14.35</c:v>
                </c:pt>
                <c:pt idx="142">
                  <c:v>0</c:v>
                </c:pt>
                <c:pt idx="143">
                  <c:v>9.6728571428571417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3.5485714285714285</c:v>
                </c:pt>
                <c:pt idx="154">
                  <c:v>45.617142857142859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8.2857142857142865</c:v>
                </c:pt>
                <c:pt idx="160">
                  <c:v>0.21571428571428572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26.844285714285714</c:v>
                </c:pt>
                <c:pt idx="165">
                  <c:v>11.671428571428569</c:v>
                </c:pt>
                <c:pt idx="166">
                  <c:v>0</c:v>
                </c:pt>
                <c:pt idx="167">
                  <c:v>1.0428571428571429</c:v>
                </c:pt>
                <c:pt idx="168">
                  <c:v>2.7428571428571429</c:v>
                </c:pt>
                <c:pt idx="169">
                  <c:v>2.4300000000000002</c:v>
                </c:pt>
                <c:pt idx="170">
                  <c:v>0.90714285714285714</c:v>
                </c:pt>
                <c:pt idx="171">
                  <c:v>21.444285714285716</c:v>
                </c:pt>
                <c:pt idx="172">
                  <c:v>0</c:v>
                </c:pt>
                <c:pt idx="173">
                  <c:v>0.21428571428571427</c:v>
                </c:pt>
                <c:pt idx="174">
                  <c:v>0</c:v>
                </c:pt>
                <c:pt idx="175">
                  <c:v>3.0371428571428569</c:v>
                </c:pt>
                <c:pt idx="176">
                  <c:v>0.19999999999999998</c:v>
                </c:pt>
                <c:pt idx="177">
                  <c:v>33.244285714285709</c:v>
                </c:pt>
                <c:pt idx="178">
                  <c:v>2.1657142857142859</c:v>
                </c:pt>
                <c:pt idx="179">
                  <c:v>3.0842857142857141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FA-4877-98EA-CD89173EF3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9521072"/>
        <c:axId val="139531408"/>
      </c:barChart>
      <c:dateAx>
        <c:axId val="139521072"/>
        <c:scaling>
          <c:orientation val="minMax"/>
        </c:scaling>
        <c:delete val="0"/>
        <c:axPos val="b"/>
        <c:numFmt formatCode="[$-409]d\-mmm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9531408"/>
        <c:crosses val="autoZero"/>
        <c:auto val="1"/>
        <c:lblOffset val="100"/>
        <c:baseTimeUnit val="days"/>
        <c:majorUnit val="10"/>
        <c:majorTimeUnit val="days"/>
        <c:minorUnit val="5"/>
        <c:minorTimeUnit val="days"/>
      </c:dateAx>
      <c:valAx>
        <c:axId val="139531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Rainfall (mm/24Hrs)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9521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'WGO 2023'!$Q$6</c:f>
              <c:strCache>
                <c:ptCount val="1"/>
                <c:pt idx="0">
                  <c:v>YTD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'WGO 2023'!$M$7:$M$18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'WGO 2023'!$Q$7:$Q$18</c:f>
              <c:numCache>
                <c:formatCode>General</c:formatCode>
                <c:ptCount val="12"/>
                <c:pt idx="0">
                  <c:v>0</c:v>
                </c:pt>
                <c:pt idx="1">
                  <c:v>0.58333333333333337</c:v>
                </c:pt>
                <c:pt idx="2" formatCode="0">
                  <c:v>7.5183333333333335</c:v>
                </c:pt>
                <c:pt idx="3" formatCode="0">
                  <c:v>75.69</c:v>
                </c:pt>
                <c:pt idx="4" formatCode="0">
                  <c:v>144.28285714285715</c:v>
                </c:pt>
                <c:pt idx="5" formatCode="0">
                  <c:v>310.9785714285714</c:v>
                </c:pt>
                <c:pt idx="6" formatCode="0">
                  <c:v>310.9785714285714</c:v>
                </c:pt>
                <c:pt idx="7" formatCode="0">
                  <c:v>310.9785714285714</c:v>
                </c:pt>
                <c:pt idx="8" formatCode="0">
                  <c:v>310.9785714285714</c:v>
                </c:pt>
                <c:pt idx="9" formatCode="0">
                  <c:v>310.9785714285714</c:v>
                </c:pt>
                <c:pt idx="10" formatCode="0">
                  <c:v>310.9785714285714</c:v>
                </c:pt>
                <c:pt idx="11" formatCode="0">
                  <c:v>310.9785714285714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66-47C0-8EF8-FDA0D31902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9529776"/>
        <c:axId val="139530320"/>
      </c:lineChart>
      <c:catAx>
        <c:axId val="139529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9530320"/>
        <c:crosses val="autoZero"/>
        <c:auto val="1"/>
        <c:lblAlgn val="ctr"/>
        <c:lblOffset val="100"/>
        <c:noMultiLvlLbl val="0"/>
      </c:catAx>
      <c:valAx>
        <c:axId val="139530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Rainfall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9529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hyperlink" Target="#'2019'!O6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hyperlink" Target="#'2019'!O6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4" Type="http://schemas.openxmlformats.org/officeDocument/2006/relationships/hyperlink" Target="#'2019'!O6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4" Type="http://schemas.openxmlformats.org/officeDocument/2006/relationships/hyperlink" Target="#'2019'!O6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76200</xdr:colOff>
      <xdr:row>0</xdr:row>
      <xdr:rowOff>176893</xdr:rowOff>
    </xdr:from>
    <xdr:to>
      <xdr:col>19</xdr:col>
      <xdr:colOff>13607</xdr:colOff>
      <xdr:row>20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586739</xdr:colOff>
      <xdr:row>22</xdr:row>
      <xdr:rowOff>95250</xdr:rowOff>
    </xdr:from>
    <xdr:to>
      <xdr:col>19</xdr:col>
      <xdr:colOff>582082</xdr:colOff>
      <xdr:row>42</xdr:row>
      <xdr:rowOff>158750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589803</xdr:colOff>
      <xdr:row>24</xdr:row>
      <xdr:rowOff>32945</xdr:rowOff>
    </xdr:from>
    <xdr:to>
      <xdr:col>11</xdr:col>
      <xdr:colOff>356945</xdr:colOff>
      <xdr:row>39</xdr:row>
      <xdr:rowOff>32945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15240</xdr:colOff>
      <xdr:row>0</xdr:row>
      <xdr:rowOff>15240</xdr:rowOff>
    </xdr:from>
    <xdr:to>
      <xdr:col>6</xdr:col>
      <xdr:colOff>502920</xdr:colOff>
      <xdr:row>2</xdr:row>
      <xdr:rowOff>0</xdr:rowOff>
    </xdr:to>
    <xdr:sp macro="" textlink="">
      <xdr:nvSpPr>
        <xdr:cNvPr id="5" name="Rounded Rectangle 4">
          <a:hlinkClick xmlns:r="http://schemas.openxmlformats.org/officeDocument/2006/relationships" r:id="rId4" tooltip="Go to Rainfall Graphs"/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SpPr/>
      </xdr:nvSpPr>
      <xdr:spPr>
        <a:xfrm>
          <a:off x="4485640" y="15240"/>
          <a:ext cx="1129030" cy="353060"/>
        </a:xfrm>
        <a:prstGeom prst="round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400" b="1"/>
            <a:t>ANALYSIS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252411</xdr:colOff>
      <xdr:row>6</xdr:row>
      <xdr:rowOff>123825</xdr:rowOff>
    </xdr:from>
    <xdr:to>
      <xdr:col>9</xdr:col>
      <xdr:colOff>666750</xdr:colOff>
      <xdr:row>22</xdr:row>
      <xdr:rowOff>66674</xdr:rowOff>
    </xdr:to>
    <xdr:graphicFrame macro="">
      <xdr:nvGraphicFramePr>
        <xdr:cNvPr id="3" name="Graphique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0.40313</cdr:x>
      <cdr:y>0.86726</cdr:y>
    </cdr:from>
    <cdr:to>
      <cdr:x>0.57396</cdr:x>
      <cdr:y>0.98525</cdr:y>
    </cdr:to>
    <cdr:sp macro="" textlink="">
      <cdr:nvSpPr>
        <cdr:cNvPr id="2" name="ZoneTexte 1"/>
        <cdr:cNvSpPr txBox="1"/>
      </cdr:nvSpPr>
      <cdr:spPr>
        <a:xfrm xmlns:a="http://schemas.openxmlformats.org/drawingml/2006/main">
          <a:off x="1843089" y="2800351"/>
          <a:ext cx="781050" cy="381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fr-FR" sz="1400"/>
            <a:t> </a:t>
          </a:r>
          <a:r>
            <a:rPr lang="fr-FR" sz="1400" b="1">
              <a:solidFill>
                <a:sysClr val="windowText" lastClr="000000"/>
              </a:solidFill>
            </a:rPr>
            <a:t>Années</a:t>
          </a:r>
        </a:p>
      </cdr:txBody>
    </cdr:sp>
  </cdr:relSizeAnchor>
  <cdr:relSizeAnchor xmlns:cdr="http://schemas.openxmlformats.org/drawingml/2006/chartDrawing">
    <cdr:from>
      <cdr:x>0.01567</cdr:x>
      <cdr:y>0.23117</cdr:y>
    </cdr:from>
    <cdr:to>
      <cdr:x>0.09862</cdr:x>
      <cdr:y>0.6961</cdr:y>
    </cdr:to>
    <cdr:sp macro="" textlink="">
      <cdr:nvSpPr>
        <cdr:cNvPr id="3" name="ZoneTexte 2"/>
        <cdr:cNvSpPr txBox="1"/>
      </cdr:nvSpPr>
      <cdr:spPr>
        <a:xfrm xmlns:a="http://schemas.openxmlformats.org/drawingml/2006/main">
          <a:off x="80963" y="847726"/>
          <a:ext cx="428625" cy="170497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vert270" wrap="square" rtlCol="0"/>
        <a:lstStyle xmlns:a="http://schemas.openxmlformats.org/drawingml/2006/main"/>
        <a:p xmlns:a="http://schemas.openxmlformats.org/drawingml/2006/main">
          <a:r>
            <a:rPr lang="fr-FR" sz="1400" b="1" baseline="0">
              <a:solidFill>
                <a:sysClr val="windowText" lastClr="000000"/>
              </a:solidFill>
            </a:rPr>
            <a:t>Précipitations (mm)</a:t>
          </a:r>
          <a:endParaRPr lang="fr-FR" sz="1400" b="1">
            <a:solidFill>
              <a:sysClr val="windowText" lastClr="000000"/>
            </a:solidFill>
          </a:endParaRPr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76200</xdr:colOff>
      <xdr:row>0</xdr:row>
      <xdr:rowOff>176893</xdr:rowOff>
    </xdr:from>
    <xdr:to>
      <xdr:col>24</xdr:col>
      <xdr:colOff>13607</xdr:colOff>
      <xdr:row>20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586739</xdr:colOff>
      <xdr:row>22</xdr:row>
      <xdr:rowOff>95250</xdr:rowOff>
    </xdr:from>
    <xdr:to>
      <xdr:col>24</xdr:col>
      <xdr:colOff>582082</xdr:colOff>
      <xdr:row>42</xdr:row>
      <xdr:rowOff>158750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589803</xdr:colOff>
      <xdr:row>24</xdr:row>
      <xdr:rowOff>32945</xdr:rowOff>
    </xdr:from>
    <xdr:to>
      <xdr:col>16</xdr:col>
      <xdr:colOff>356945</xdr:colOff>
      <xdr:row>39</xdr:row>
      <xdr:rowOff>32945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15240</xdr:colOff>
      <xdr:row>0</xdr:row>
      <xdr:rowOff>15240</xdr:rowOff>
    </xdr:from>
    <xdr:to>
      <xdr:col>11</xdr:col>
      <xdr:colOff>502920</xdr:colOff>
      <xdr:row>2</xdr:row>
      <xdr:rowOff>0</xdr:rowOff>
    </xdr:to>
    <xdr:sp macro="" textlink="">
      <xdr:nvSpPr>
        <xdr:cNvPr id="5" name="Rounded Rectangle 4">
          <a:hlinkClick xmlns:r="http://schemas.openxmlformats.org/officeDocument/2006/relationships" r:id="rId4" tooltip="Go to Rainfall Graphs"/>
          <a:extLst>
            <a:ext uri="{FF2B5EF4-FFF2-40B4-BE49-F238E27FC236}">
              <a16:creationId xmlns:a16="http://schemas.microsoft.com/office/drawing/2014/main" id="{00000000-0008-0000-1000-000005000000}"/>
            </a:ext>
          </a:extLst>
        </xdr:cNvPr>
        <xdr:cNvSpPr/>
      </xdr:nvSpPr>
      <xdr:spPr>
        <a:xfrm>
          <a:off x="2739390" y="15240"/>
          <a:ext cx="1129030" cy="353060"/>
        </a:xfrm>
        <a:prstGeom prst="round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400" b="1"/>
            <a:t>ANALYSIS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76200</xdr:colOff>
      <xdr:row>0</xdr:row>
      <xdr:rowOff>176893</xdr:rowOff>
    </xdr:from>
    <xdr:to>
      <xdr:col>25</xdr:col>
      <xdr:colOff>13607</xdr:colOff>
      <xdr:row>20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2974690-4818-4E44-BA12-6B0EE883FC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586739</xdr:colOff>
      <xdr:row>22</xdr:row>
      <xdr:rowOff>95250</xdr:rowOff>
    </xdr:from>
    <xdr:to>
      <xdr:col>25</xdr:col>
      <xdr:colOff>582082</xdr:colOff>
      <xdr:row>42</xdr:row>
      <xdr:rowOff>158750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89649F4-9EA7-4767-95E9-4ADC980A3F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589803</xdr:colOff>
      <xdr:row>24</xdr:row>
      <xdr:rowOff>32945</xdr:rowOff>
    </xdr:from>
    <xdr:to>
      <xdr:col>17</xdr:col>
      <xdr:colOff>356945</xdr:colOff>
      <xdr:row>39</xdr:row>
      <xdr:rowOff>32945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3D23F89-4901-43CF-9152-E874049E1B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15240</xdr:colOff>
      <xdr:row>0</xdr:row>
      <xdr:rowOff>15240</xdr:rowOff>
    </xdr:from>
    <xdr:to>
      <xdr:col>12</xdr:col>
      <xdr:colOff>502920</xdr:colOff>
      <xdr:row>2</xdr:row>
      <xdr:rowOff>0</xdr:rowOff>
    </xdr:to>
    <xdr:sp macro="" textlink="">
      <xdr:nvSpPr>
        <xdr:cNvPr id="5" name="Rounded Rectangle 4">
          <a:hlinkClick xmlns:r="http://schemas.openxmlformats.org/officeDocument/2006/relationships" r:id="rId4" tooltip="Go to Rainfall Graphs"/>
          <a:extLst>
            <a:ext uri="{FF2B5EF4-FFF2-40B4-BE49-F238E27FC236}">
              <a16:creationId xmlns:a16="http://schemas.microsoft.com/office/drawing/2014/main" id="{6DCBF1AC-868E-45D4-B194-D2BA097D3827}"/>
            </a:ext>
          </a:extLst>
        </xdr:cNvPr>
        <xdr:cNvSpPr/>
      </xdr:nvSpPr>
      <xdr:spPr>
        <a:xfrm>
          <a:off x="6598920" y="15240"/>
          <a:ext cx="1154430" cy="350520"/>
        </a:xfrm>
        <a:prstGeom prst="round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400" b="1"/>
            <a:t>ANALYSIS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76200</xdr:colOff>
      <xdr:row>0</xdr:row>
      <xdr:rowOff>176893</xdr:rowOff>
    </xdr:from>
    <xdr:to>
      <xdr:col>26</xdr:col>
      <xdr:colOff>13607</xdr:colOff>
      <xdr:row>20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E3496EE-D198-4E16-8B8E-504ED86317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586739</xdr:colOff>
      <xdr:row>22</xdr:row>
      <xdr:rowOff>95250</xdr:rowOff>
    </xdr:from>
    <xdr:to>
      <xdr:col>26</xdr:col>
      <xdr:colOff>582082</xdr:colOff>
      <xdr:row>42</xdr:row>
      <xdr:rowOff>158750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D44ED77-D7F8-406A-8091-08CCF19DC5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589803</xdr:colOff>
      <xdr:row>24</xdr:row>
      <xdr:rowOff>32945</xdr:rowOff>
    </xdr:from>
    <xdr:to>
      <xdr:col>18</xdr:col>
      <xdr:colOff>356945</xdr:colOff>
      <xdr:row>39</xdr:row>
      <xdr:rowOff>32945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16CF720-F39E-4EC8-8D47-7954F481F5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15240</xdr:colOff>
      <xdr:row>0</xdr:row>
      <xdr:rowOff>15240</xdr:rowOff>
    </xdr:from>
    <xdr:to>
      <xdr:col>13</xdr:col>
      <xdr:colOff>502920</xdr:colOff>
      <xdr:row>2</xdr:row>
      <xdr:rowOff>0</xdr:rowOff>
    </xdr:to>
    <xdr:sp macro="" textlink="">
      <xdr:nvSpPr>
        <xdr:cNvPr id="5" name="Rounded Rectangle 4">
          <a:hlinkClick xmlns:r="http://schemas.openxmlformats.org/officeDocument/2006/relationships" r:id="rId4" tooltip="Go to Rainfall Graphs"/>
          <a:extLst>
            <a:ext uri="{FF2B5EF4-FFF2-40B4-BE49-F238E27FC236}">
              <a16:creationId xmlns:a16="http://schemas.microsoft.com/office/drawing/2014/main" id="{C74083A6-8763-479E-AF96-92B6C68E0A20}"/>
            </a:ext>
          </a:extLst>
        </xdr:cNvPr>
        <xdr:cNvSpPr/>
      </xdr:nvSpPr>
      <xdr:spPr>
        <a:xfrm>
          <a:off x="8734425" y="19050"/>
          <a:ext cx="1152525" cy="342900"/>
        </a:xfrm>
        <a:prstGeom prst="round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400" b="1"/>
            <a:t>ANALYSIS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68"/>
  <sheetViews>
    <sheetView showGridLines="0" view="pageBreakPreview" topLeftCell="B1" zoomScale="110" zoomScaleNormal="44" zoomScaleSheetLayoutView="110" workbookViewId="0">
      <pane ySplit="1" topLeftCell="A5" activePane="bottomLeft" state="frozen"/>
      <selection activeCell="B1" sqref="B1"/>
      <selection pane="bottomLeft" activeCell="G15" sqref="G15"/>
    </sheetView>
  </sheetViews>
  <sheetFormatPr baseColWidth="10" defaultColWidth="9.140625" defaultRowHeight="15" x14ac:dyDescent="0.25"/>
  <cols>
    <col min="1" max="1" width="0" style="4" hidden="1" customWidth="1"/>
    <col min="2" max="2" width="18.28515625" style="4" customWidth="1"/>
    <col min="3" max="3" width="13.7109375" style="28" customWidth="1"/>
    <col min="4" max="4" width="10.28515625" style="4" customWidth="1"/>
    <col min="5" max="5" width="8.140625" style="4" bestFit="1" customWidth="1"/>
    <col min="6" max="7" width="9.140625" style="4"/>
    <col min="8" max="8" width="19.85546875" style="4" bestFit="1" customWidth="1"/>
    <col min="9" max="33" width="9.140625" style="4"/>
    <col min="34" max="16384" width="9.140625" style="29"/>
  </cols>
  <sheetData>
    <row r="1" spans="1:10" s="4" customFormat="1" x14ac:dyDescent="0.25">
      <c r="A1" s="1" t="s">
        <v>13</v>
      </c>
      <c r="B1" s="2" t="s">
        <v>14</v>
      </c>
      <c r="C1" s="3" t="s">
        <v>0</v>
      </c>
      <c r="D1" s="2" t="s">
        <v>21</v>
      </c>
      <c r="E1" s="2" t="s">
        <v>22</v>
      </c>
      <c r="H1" s="5"/>
    </row>
    <row r="2" spans="1:10" s="4" customFormat="1" x14ac:dyDescent="0.25">
      <c r="A2" s="1">
        <f>WEEKNUM($B2,2)</f>
        <v>1</v>
      </c>
      <c r="B2" s="6">
        <v>43831</v>
      </c>
      <c r="C2" s="3">
        <f t="shared" ref="C2:C65" si="0">AVERAGE(D2:E2)</f>
        <v>0</v>
      </c>
      <c r="D2" s="30">
        <v>0</v>
      </c>
      <c r="E2" s="30">
        <v>0</v>
      </c>
    </row>
    <row r="3" spans="1:10" s="4" customFormat="1" x14ac:dyDescent="0.25">
      <c r="A3" s="1">
        <f t="shared" ref="A3:A66" si="1">WEEKNUM($B3,2)</f>
        <v>1</v>
      </c>
      <c r="B3" s="6">
        <v>43832</v>
      </c>
      <c r="C3" s="3">
        <f t="shared" si="0"/>
        <v>0</v>
      </c>
      <c r="D3" s="30">
        <v>0</v>
      </c>
      <c r="E3" s="30">
        <v>0</v>
      </c>
    </row>
    <row r="4" spans="1:10" s="4" customFormat="1" x14ac:dyDescent="0.25">
      <c r="A4" s="1">
        <f t="shared" si="1"/>
        <v>1</v>
      </c>
      <c r="B4" s="6">
        <v>43833</v>
      </c>
      <c r="C4" s="3">
        <f t="shared" si="0"/>
        <v>0</v>
      </c>
      <c r="D4" s="30">
        <v>0</v>
      </c>
      <c r="E4" s="30">
        <v>0</v>
      </c>
    </row>
    <row r="5" spans="1:10" s="4" customFormat="1" x14ac:dyDescent="0.25">
      <c r="A5" s="1">
        <f t="shared" si="1"/>
        <v>1</v>
      </c>
      <c r="B5" s="6">
        <v>43834</v>
      </c>
      <c r="C5" s="3">
        <f t="shared" si="0"/>
        <v>0</v>
      </c>
      <c r="D5" s="30">
        <v>0</v>
      </c>
      <c r="E5" s="30">
        <v>0</v>
      </c>
    </row>
    <row r="6" spans="1:10" s="4" customFormat="1" x14ac:dyDescent="0.25">
      <c r="A6" s="1">
        <f t="shared" si="1"/>
        <v>1</v>
      </c>
      <c r="B6" s="6">
        <v>43835</v>
      </c>
      <c r="C6" s="3">
        <f t="shared" si="0"/>
        <v>0</v>
      </c>
      <c r="D6" s="30">
        <v>0</v>
      </c>
      <c r="E6" s="30">
        <v>0</v>
      </c>
      <c r="F6" s="7" t="s">
        <v>15</v>
      </c>
      <c r="G6" s="7" t="s">
        <v>16</v>
      </c>
      <c r="H6" s="7" t="s">
        <v>17</v>
      </c>
      <c r="I6" s="7" t="s">
        <v>18</v>
      </c>
      <c r="J6" s="7" t="s">
        <v>19</v>
      </c>
    </row>
    <row r="7" spans="1:10" s="4" customFormat="1" x14ac:dyDescent="0.25">
      <c r="A7" s="1">
        <f t="shared" si="1"/>
        <v>2</v>
      </c>
      <c r="B7" s="6">
        <v>43836</v>
      </c>
      <c r="C7" s="3">
        <f t="shared" si="0"/>
        <v>0</v>
      </c>
      <c r="D7" s="30">
        <v>0</v>
      </c>
      <c r="E7" s="30">
        <v>0</v>
      </c>
      <c r="F7" s="5" t="s">
        <v>1</v>
      </c>
      <c r="G7" s="4">
        <f>SUM($C$2:$C$32)</f>
        <v>0</v>
      </c>
      <c r="H7" s="4">
        <f>COUNTIF($D$2:$D$32,"&gt;0")</f>
        <v>0</v>
      </c>
      <c r="J7" s="4">
        <f>G7</f>
        <v>0</v>
      </c>
    </row>
    <row r="8" spans="1:10" s="4" customFormat="1" x14ac:dyDescent="0.25">
      <c r="A8" s="1">
        <f t="shared" si="1"/>
        <v>2</v>
      </c>
      <c r="B8" s="6">
        <v>43837</v>
      </c>
      <c r="C8" s="3">
        <f t="shared" si="0"/>
        <v>0</v>
      </c>
      <c r="D8" s="30">
        <v>0</v>
      </c>
      <c r="E8" s="30">
        <v>0</v>
      </c>
      <c r="F8" s="5" t="s">
        <v>2</v>
      </c>
      <c r="G8" s="8">
        <f>SUM($C$33:$C$61)</f>
        <v>0</v>
      </c>
      <c r="H8" s="4">
        <f>COUNTIF($D$33:$D$61,"&gt;0")</f>
        <v>0</v>
      </c>
      <c r="I8" s="9">
        <f>H8/28</f>
        <v>0</v>
      </c>
      <c r="J8" s="4">
        <f>J7+G8</f>
        <v>0</v>
      </c>
    </row>
    <row r="9" spans="1:10" s="4" customFormat="1" x14ac:dyDescent="0.25">
      <c r="A9" s="1">
        <f t="shared" si="1"/>
        <v>2</v>
      </c>
      <c r="B9" s="6">
        <v>43838</v>
      </c>
      <c r="C9" s="3">
        <f t="shared" si="0"/>
        <v>0</v>
      </c>
      <c r="D9" s="30">
        <v>0</v>
      </c>
      <c r="E9" s="30">
        <v>0</v>
      </c>
      <c r="F9" s="5" t="s">
        <v>3</v>
      </c>
      <c r="G9" s="10">
        <f>SUM($C$62:$C$92)</f>
        <v>7</v>
      </c>
      <c r="H9" s="4">
        <f>COUNTIF($D$62:$D$92,"&gt;0")</f>
        <v>2</v>
      </c>
      <c r="I9" s="9">
        <f>H9/31</f>
        <v>6.4516129032258063E-2</v>
      </c>
      <c r="J9" s="10">
        <f>J8+G9</f>
        <v>7</v>
      </c>
    </row>
    <row r="10" spans="1:10" s="4" customFormat="1" x14ac:dyDescent="0.25">
      <c r="A10" s="1">
        <f t="shared" si="1"/>
        <v>2</v>
      </c>
      <c r="B10" s="6">
        <v>43839</v>
      </c>
      <c r="C10" s="3">
        <f t="shared" si="0"/>
        <v>0</v>
      </c>
      <c r="D10" s="30">
        <v>0</v>
      </c>
      <c r="E10" s="30">
        <v>0</v>
      </c>
      <c r="F10" s="5" t="s">
        <v>4</v>
      </c>
      <c r="G10" s="10">
        <f>SUM($C$93:$C$122)</f>
        <v>6.05</v>
      </c>
      <c r="H10" s="4">
        <f>COUNTIF($D$93:$D$122,"&gt;0")</f>
        <v>2</v>
      </c>
      <c r="I10" s="9">
        <f>H10/30</f>
        <v>6.6666666666666666E-2</v>
      </c>
      <c r="J10" s="10">
        <f>J9+G10</f>
        <v>13.05</v>
      </c>
    </row>
    <row r="11" spans="1:10" s="4" customFormat="1" x14ac:dyDescent="0.25">
      <c r="A11" s="1">
        <f t="shared" si="1"/>
        <v>2</v>
      </c>
      <c r="B11" s="6">
        <v>43840</v>
      </c>
      <c r="C11" s="3">
        <f t="shared" si="0"/>
        <v>0</v>
      </c>
      <c r="D11" s="30">
        <v>0</v>
      </c>
      <c r="E11" s="30">
        <v>0</v>
      </c>
      <c r="F11" s="5" t="s">
        <v>5</v>
      </c>
      <c r="G11" s="10">
        <f>SUM($C$123:$C$153)</f>
        <v>119.9</v>
      </c>
      <c r="H11" s="4">
        <f>COUNTIF($D$123:$D$153,"&gt;0")</f>
        <v>8</v>
      </c>
      <c r="I11" s="9">
        <f>H11/31</f>
        <v>0.25806451612903225</v>
      </c>
      <c r="J11" s="10">
        <f>J10+G11</f>
        <v>132.95000000000002</v>
      </c>
    </row>
    <row r="12" spans="1:10" s="4" customFormat="1" x14ac:dyDescent="0.25">
      <c r="A12" s="1">
        <f t="shared" si="1"/>
        <v>2</v>
      </c>
      <c r="B12" s="6">
        <v>43841</v>
      </c>
      <c r="C12" s="3">
        <f t="shared" si="0"/>
        <v>0</v>
      </c>
      <c r="D12" s="30">
        <v>0</v>
      </c>
      <c r="E12" s="30">
        <v>0</v>
      </c>
      <c r="F12" s="5" t="s">
        <v>6</v>
      </c>
      <c r="G12" s="10">
        <f>SUM($C$154:$C$183)</f>
        <v>112.375</v>
      </c>
      <c r="H12" s="4">
        <f>COUNTIF($D$154:$D$183,"&gt;0")</f>
        <v>10</v>
      </c>
      <c r="I12" s="9">
        <f>H12/30</f>
        <v>0.33333333333333331</v>
      </c>
      <c r="J12" s="10">
        <f t="shared" ref="J12:J17" si="2">J11+G12</f>
        <v>245.32500000000002</v>
      </c>
    </row>
    <row r="13" spans="1:10" s="4" customFormat="1" x14ac:dyDescent="0.25">
      <c r="A13" s="1">
        <f t="shared" si="1"/>
        <v>2</v>
      </c>
      <c r="B13" s="6">
        <v>43842</v>
      </c>
      <c r="C13" s="3">
        <f t="shared" si="0"/>
        <v>0</v>
      </c>
      <c r="D13" s="30">
        <v>0</v>
      </c>
      <c r="E13" s="30">
        <v>0</v>
      </c>
      <c r="F13" s="5" t="s">
        <v>7</v>
      </c>
      <c r="G13" s="10">
        <f>SUM($C$184:$C$214)</f>
        <v>258.125</v>
      </c>
      <c r="H13" s="4">
        <f>COUNTIF($D$184:$D$214,"&gt;0")</f>
        <v>16</v>
      </c>
      <c r="I13" s="9">
        <f>H13/31</f>
        <v>0.5161290322580645</v>
      </c>
      <c r="J13" s="10">
        <f t="shared" si="2"/>
        <v>503.45000000000005</v>
      </c>
    </row>
    <row r="14" spans="1:10" s="4" customFormat="1" x14ac:dyDescent="0.25">
      <c r="A14" s="1">
        <f t="shared" si="1"/>
        <v>3</v>
      </c>
      <c r="B14" s="6">
        <v>43843</v>
      </c>
      <c r="C14" s="3">
        <f t="shared" si="0"/>
        <v>0</v>
      </c>
      <c r="D14" s="30">
        <v>0</v>
      </c>
      <c r="E14" s="30">
        <v>0</v>
      </c>
      <c r="F14" s="5" t="s">
        <v>8</v>
      </c>
      <c r="G14" s="10">
        <f>SUM($C$215:$C$245)</f>
        <v>412.85</v>
      </c>
      <c r="H14" s="4">
        <f>COUNTIF($D$215:$D$245,"&gt;0")</f>
        <v>17</v>
      </c>
      <c r="I14" s="9">
        <f>H14/31</f>
        <v>0.54838709677419351</v>
      </c>
      <c r="J14" s="10">
        <f t="shared" si="2"/>
        <v>916.30000000000007</v>
      </c>
    </row>
    <row r="15" spans="1:10" s="4" customFormat="1" x14ac:dyDescent="0.25">
      <c r="A15" s="1">
        <f t="shared" si="1"/>
        <v>3</v>
      </c>
      <c r="B15" s="6">
        <v>43844</v>
      </c>
      <c r="C15" s="3">
        <f t="shared" si="0"/>
        <v>0</v>
      </c>
      <c r="D15" s="30">
        <v>0</v>
      </c>
      <c r="E15" s="30">
        <v>0</v>
      </c>
      <c r="F15" s="5" t="s">
        <v>9</v>
      </c>
      <c r="G15" s="10">
        <f>SUM($C$246:$C$275)</f>
        <v>190.1</v>
      </c>
      <c r="H15" s="4">
        <f>COUNTIF($D$246:$D$275,"&gt;0")</f>
        <v>16</v>
      </c>
      <c r="I15" s="9">
        <f>H15/30</f>
        <v>0.53333333333333333</v>
      </c>
      <c r="J15" s="10">
        <f t="shared" si="2"/>
        <v>1106.4000000000001</v>
      </c>
    </row>
    <row r="16" spans="1:10" s="4" customFormat="1" x14ac:dyDescent="0.25">
      <c r="A16" s="1">
        <f t="shared" si="1"/>
        <v>3</v>
      </c>
      <c r="B16" s="6">
        <v>43845</v>
      </c>
      <c r="C16" s="3">
        <f t="shared" si="0"/>
        <v>0</v>
      </c>
      <c r="D16" s="30">
        <v>0</v>
      </c>
      <c r="E16" s="30">
        <v>0</v>
      </c>
      <c r="F16" s="5" t="s">
        <v>10</v>
      </c>
      <c r="G16" s="10">
        <f>SUM($C$276:$C$306)</f>
        <v>87.75</v>
      </c>
      <c r="H16" s="4">
        <f>COUNTIF($D$276:$D$305,"&gt;0")</f>
        <v>9</v>
      </c>
      <c r="I16" s="9">
        <f>H16/31</f>
        <v>0.29032258064516131</v>
      </c>
      <c r="J16" s="10">
        <f t="shared" si="2"/>
        <v>1194.1500000000001</v>
      </c>
    </row>
    <row r="17" spans="1:10" s="4" customFormat="1" x14ac:dyDescent="0.25">
      <c r="A17" s="1">
        <f t="shared" si="1"/>
        <v>3</v>
      </c>
      <c r="B17" s="6">
        <v>43846</v>
      </c>
      <c r="C17" s="3">
        <f t="shared" si="0"/>
        <v>0</v>
      </c>
      <c r="D17" s="30">
        <v>0</v>
      </c>
      <c r="E17" s="30">
        <v>0</v>
      </c>
      <c r="F17" s="5" t="s">
        <v>11</v>
      </c>
      <c r="G17" s="10">
        <f>SUM($C$307:$C$336)</f>
        <v>0</v>
      </c>
      <c r="H17" s="4">
        <f>COUNTIF($D$306:$D$355,"&gt;0")</f>
        <v>0</v>
      </c>
      <c r="I17" s="9">
        <f>H17/30</f>
        <v>0</v>
      </c>
      <c r="J17" s="10">
        <f t="shared" si="2"/>
        <v>1194.1500000000001</v>
      </c>
    </row>
    <row r="18" spans="1:10" s="4" customFormat="1" x14ac:dyDescent="0.25">
      <c r="A18" s="1">
        <f t="shared" si="1"/>
        <v>3</v>
      </c>
      <c r="B18" s="6">
        <v>43847</v>
      </c>
      <c r="C18" s="3">
        <f t="shared" si="0"/>
        <v>0</v>
      </c>
      <c r="D18" s="30">
        <v>0</v>
      </c>
      <c r="E18" s="30">
        <v>0</v>
      </c>
      <c r="F18" s="5" t="s">
        <v>12</v>
      </c>
      <c r="G18" s="10">
        <f>SUM($C$337:$C$367)</f>
        <v>0</v>
      </c>
      <c r="H18" s="4">
        <f>COUNTIF($D$337:$D$366,"&gt;0")</f>
        <v>0</v>
      </c>
      <c r="I18" s="11">
        <f>H18/31</f>
        <v>0</v>
      </c>
      <c r="J18" s="10">
        <f>J17+G18</f>
        <v>1194.1500000000001</v>
      </c>
    </row>
    <row r="19" spans="1:10" s="4" customFormat="1" x14ac:dyDescent="0.25">
      <c r="A19" s="1">
        <f t="shared" si="1"/>
        <v>3</v>
      </c>
      <c r="B19" s="6">
        <v>43848</v>
      </c>
      <c r="C19" s="3">
        <f t="shared" si="0"/>
        <v>0</v>
      </c>
      <c r="D19" s="30">
        <v>0</v>
      </c>
      <c r="E19" s="30">
        <v>0</v>
      </c>
    </row>
    <row r="20" spans="1:10" s="4" customFormat="1" x14ac:dyDescent="0.25">
      <c r="A20" s="1">
        <f t="shared" si="1"/>
        <v>3</v>
      </c>
      <c r="B20" s="6">
        <v>43849</v>
      </c>
      <c r="C20" s="3">
        <f t="shared" si="0"/>
        <v>0</v>
      </c>
      <c r="D20" s="30">
        <v>0</v>
      </c>
      <c r="E20" s="30">
        <v>0</v>
      </c>
    </row>
    <row r="21" spans="1:10" s="4" customFormat="1" x14ac:dyDescent="0.25">
      <c r="A21" s="1">
        <f t="shared" si="1"/>
        <v>4</v>
      </c>
      <c r="B21" s="6">
        <v>43850</v>
      </c>
      <c r="C21" s="3">
        <f t="shared" si="0"/>
        <v>0</v>
      </c>
      <c r="D21" s="30">
        <v>0</v>
      </c>
      <c r="E21" s="30">
        <v>0</v>
      </c>
    </row>
    <row r="22" spans="1:10" s="4" customFormat="1" x14ac:dyDescent="0.25">
      <c r="A22" s="1">
        <f t="shared" si="1"/>
        <v>4</v>
      </c>
      <c r="B22" s="6">
        <v>43851</v>
      </c>
      <c r="C22" s="3">
        <f t="shared" si="0"/>
        <v>0</v>
      </c>
      <c r="D22" s="30">
        <v>0</v>
      </c>
      <c r="E22" s="30">
        <v>0</v>
      </c>
    </row>
    <row r="23" spans="1:10" s="4" customFormat="1" x14ac:dyDescent="0.25">
      <c r="A23" s="1">
        <f t="shared" si="1"/>
        <v>4</v>
      </c>
      <c r="B23" s="6">
        <v>43852</v>
      </c>
      <c r="C23" s="3">
        <f t="shared" si="0"/>
        <v>0</v>
      </c>
      <c r="D23" s="30">
        <v>0</v>
      </c>
      <c r="E23" s="30">
        <v>0</v>
      </c>
    </row>
    <row r="24" spans="1:10" s="4" customFormat="1" x14ac:dyDescent="0.25">
      <c r="A24" s="1">
        <f t="shared" si="1"/>
        <v>4</v>
      </c>
      <c r="B24" s="6">
        <v>43853</v>
      </c>
      <c r="C24" s="3">
        <f t="shared" si="0"/>
        <v>0</v>
      </c>
      <c r="D24" s="30">
        <v>0</v>
      </c>
      <c r="E24" s="30">
        <v>0</v>
      </c>
    </row>
    <row r="25" spans="1:10" s="4" customFormat="1" x14ac:dyDescent="0.25">
      <c r="A25" s="1">
        <f t="shared" si="1"/>
        <v>4</v>
      </c>
      <c r="B25" s="6">
        <v>43854</v>
      </c>
      <c r="C25" s="3">
        <f t="shared" si="0"/>
        <v>0</v>
      </c>
      <c r="D25" s="30">
        <v>0</v>
      </c>
      <c r="E25" s="30">
        <v>0</v>
      </c>
    </row>
    <row r="26" spans="1:10" s="4" customFormat="1" x14ac:dyDescent="0.25">
      <c r="A26" s="1">
        <f t="shared" si="1"/>
        <v>4</v>
      </c>
      <c r="B26" s="6">
        <v>43855</v>
      </c>
      <c r="C26" s="3">
        <f t="shared" si="0"/>
        <v>0</v>
      </c>
      <c r="D26" s="30">
        <v>0</v>
      </c>
      <c r="E26" s="30">
        <v>0</v>
      </c>
    </row>
    <row r="27" spans="1:10" s="4" customFormat="1" x14ac:dyDescent="0.25">
      <c r="A27" s="1">
        <f t="shared" si="1"/>
        <v>4</v>
      </c>
      <c r="B27" s="6">
        <v>43856</v>
      </c>
      <c r="C27" s="3">
        <f t="shared" si="0"/>
        <v>0</v>
      </c>
      <c r="D27" s="30">
        <v>0</v>
      </c>
      <c r="E27" s="30">
        <v>0</v>
      </c>
    </row>
    <row r="28" spans="1:10" s="4" customFormat="1" x14ac:dyDescent="0.25">
      <c r="A28" s="1">
        <f t="shared" si="1"/>
        <v>5</v>
      </c>
      <c r="B28" s="6">
        <v>43857</v>
      </c>
      <c r="C28" s="3">
        <f t="shared" si="0"/>
        <v>0</v>
      </c>
      <c r="D28" s="30">
        <v>0</v>
      </c>
      <c r="E28" s="30">
        <v>0</v>
      </c>
    </row>
    <row r="29" spans="1:10" s="4" customFormat="1" x14ac:dyDescent="0.25">
      <c r="A29" s="1">
        <f t="shared" si="1"/>
        <v>5</v>
      </c>
      <c r="B29" s="6">
        <v>43858</v>
      </c>
      <c r="C29" s="3">
        <f t="shared" si="0"/>
        <v>0</v>
      </c>
      <c r="D29" s="30">
        <v>0</v>
      </c>
      <c r="E29" s="30">
        <v>0</v>
      </c>
    </row>
    <row r="30" spans="1:10" s="4" customFormat="1" x14ac:dyDescent="0.25">
      <c r="A30" s="1">
        <f t="shared" si="1"/>
        <v>5</v>
      </c>
      <c r="B30" s="6">
        <v>43859</v>
      </c>
      <c r="C30" s="3">
        <f t="shared" si="0"/>
        <v>0</v>
      </c>
      <c r="D30" s="30">
        <v>0</v>
      </c>
      <c r="E30" s="30">
        <v>0</v>
      </c>
    </row>
    <row r="31" spans="1:10" s="4" customFormat="1" x14ac:dyDescent="0.25">
      <c r="A31" s="1">
        <f t="shared" si="1"/>
        <v>5</v>
      </c>
      <c r="B31" s="6">
        <v>43860</v>
      </c>
      <c r="C31" s="3">
        <f t="shared" si="0"/>
        <v>0</v>
      </c>
      <c r="D31" s="30">
        <v>0</v>
      </c>
      <c r="E31" s="30">
        <v>0</v>
      </c>
    </row>
    <row r="32" spans="1:10" s="4" customFormat="1" ht="15.75" thickBot="1" x14ac:dyDescent="0.3">
      <c r="A32" s="1">
        <f t="shared" si="1"/>
        <v>5</v>
      </c>
      <c r="B32" s="6">
        <v>43861</v>
      </c>
      <c r="C32" s="12">
        <f t="shared" si="0"/>
        <v>0</v>
      </c>
      <c r="D32" s="30">
        <v>0</v>
      </c>
      <c r="E32" s="30">
        <v>0</v>
      </c>
      <c r="F32" s="14">
        <f>SUM(C4:C32)</f>
        <v>0</v>
      </c>
    </row>
    <row r="33" spans="1:5" s="4" customFormat="1" ht="15.75" thickTop="1" x14ac:dyDescent="0.25">
      <c r="A33" s="1">
        <f t="shared" si="1"/>
        <v>5</v>
      </c>
      <c r="B33" s="6">
        <v>43862</v>
      </c>
      <c r="C33" s="15">
        <f t="shared" si="0"/>
        <v>0</v>
      </c>
      <c r="D33" s="30">
        <v>0</v>
      </c>
      <c r="E33" s="30">
        <v>0</v>
      </c>
    </row>
    <row r="34" spans="1:5" s="4" customFormat="1" x14ac:dyDescent="0.25">
      <c r="A34" s="1">
        <f t="shared" si="1"/>
        <v>5</v>
      </c>
      <c r="B34" s="6">
        <v>43863</v>
      </c>
      <c r="C34" s="3">
        <f t="shared" si="0"/>
        <v>0</v>
      </c>
      <c r="D34" s="30">
        <v>0</v>
      </c>
      <c r="E34" s="30">
        <v>0</v>
      </c>
    </row>
    <row r="35" spans="1:5" s="4" customFormat="1" x14ac:dyDescent="0.25">
      <c r="A35" s="1">
        <f t="shared" si="1"/>
        <v>6</v>
      </c>
      <c r="B35" s="6">
        <v>43864</v>
      </c>
      <c r="C35" s="3">
        <f t="shared" si="0"/>
        <v>0</v>
      </c>
      <c r="D35" s="30">
        <v>0</v>
      </c>
      <c r="E35" s="30">
        <v>0</v>
      </c>
    </row>
    <row r="36" spans="1:5" s="4" customFormat="1" x14ac:dyDescent="0.25">
      <c r="A36" s="1">
        <f t="shared" si="1"/>
        <v>6</v>
      </c>
      <c r="B36" s="6">
        <v>43865</v>
      </c>
      <c r="C36" s="3">
        <f t="shared" si="0"/>
        <v>0</v>
      </c>
      <c r="D36" s="30">
        <v>0</v>
      </c>
      <c r="E36" s="30">
        <v>0</v>
      </c>
    </row>
    <row r="37" spans="1:5" s="4" customFormat="1" x14ac:dyDescent="0.25">
      <c r="A37" s="1">
        <f t="shared" si="1"/>
        <v>6</v>
      </c>
      <c r="B37" s="6">
        <v>43866</v>
      </c>
      <c r="C37" s="3">
        <f t="shared" si="0"/>
        <v>0</v>
      </c>
      <c r="D37" s="30">
        <v>0</v>
      </c>
      <c r="E37" s="30">
        <v>0</v>
      </c>
    </row>
    <row r="38" spans="1:5" s="4" customFormat="1" x14ac:dyDescent="0.25">
      <c r="A38" s="1">
        <f t="shared" si="1"/>
        <v>6</v>
      </c>
      <c r="B38" s="6">
        <v>43867</v>
      </c>
      <c r="C38" s="3">
        <f t="shared" si="0"/>
        <v>0</v>
      </c>
      <c r="D38" s="30">
        <v>0</v>
      </c>
      <c r="E38" s="30">
        <v>0</v>
      </c>
    </row>
    <row r="39" spans="1:5" s="4" customFormat="1" x14ac:dyDescent="0.25">
      <c r="A39" s="1">
        <f t="shared" si="1"/>
        <v>6</v>
      </c>
      <c r="B39" s="6">
        <v>43868</v>
      </c>
      <c r="C39" s="3">
        <f t="shared" si="0"/>
        <v>0</v>
      </c>
      <c r="D39" s="30">
        <v>0</v>
      </c>
      <c r="E39" s="30">
        <v>0</v>
      </c>
    </row>
    <row r="40" spans="1:5" s="4" customFormat="1" x14ac:dyDescent="0.25">
      <c r="A40" s="1">
        <f t="shared" si="1"/>
        <v>6</v>
      </c>
      <c r="B40" s="6">
        <v>43869</v>
      </c>
      <c r="C40" s="3">
        <f t="shared" si="0"/>
        <v>0</v>
      </c>
      <c r="D40" s="30">
        <v>0</v>
      </c>
      <c r="E40" s="30">
        <v>0</v>
      </c>
    </row>
    <row r="41" spans="1:5" s="4" customFormat="1" x14ac:dyDescent="0.25">
      <c r="A41" s="1">
        <f t="shared" si="1"/>
        <v>6</v>
      </c>
      <c r="B41" s="6">
        <v>43870</v>
      </c>
      <c r="C41" s="3">
        <f t="shared" si="0"/>
        <v>0</v>
      </c>
      <c r="D41" s="30">
        <v>0</v>
      </c>
      <c r="E41" s="30">
        <v>0</v>
      </c>
    </row>
    <row r="42" spans="1:5" s="4" customFormat="1" x14ac:dyDescent="0.25">
      <c r="A42" s="1">
        <f t="shared" si="1"/>
        <v>7</v>
      </c>
      <c r="B42" s="6">
        <v>43871</v>
      </c>
      <c r="C42" s="3">
        <f t="shared" si="0"/>
        <v>0</v>
      </c>
      <c r="D42" s="30">
        <v>0</v>
      </c>
      <c r="E42" s="30">
        <v>0</v>
      </c>
    </row>
    <row r="43" spans="1:5" s="4" customFormat="1" x14ac:dyDescent="0.25">
      <c r="A43" s="1">
        <f t="shared" si="1"/>
        <v>7</v>
      </c>
      <c r="B43" s="6">
        <v>43872</v>
      </c>
      <c r="C43" s="3">
        <f t="shared" si="0"/>
        <v>0</v>
      </c>
      <c r="D43" s="30">
        <v>0</v>
      </c>
      <c r="E43" s="30">
        <v>0</v>
      </c>
    </row>
    <row r="44" spans="1:5" s="4" customFormat="1" x14ac:dyDescent="0.25">
      <c r="A44" s="1">
        <f t="shared" si="1"/>
        <v>7</v>
      </c>
      <c r="B44" s="6">
        <v>43873</v>
      </c>
      <c r="C44" s="3">
        <f t="shared" si="0"/>
        <v>0</v>
      </c>
      <c r="D44" s="30">
        <v>0</v>
      </c>
      <c r="E44" s="30">
        <v>0</v>
      </c>
    </row>
    <row r="45" spans="1:5" s="4" customFormat="1" x14ac:dyDescent="0.25">
      <c r="A45" s="1">
        <f t="shared" si="1"/>
        <v>7</v>
      </c>
      <c r="B45" s="6">
        <v>43874</v>
      </c>
      <c r="C45" s="3">
        <f t="shared" si="0"/>
        <v>0</v>
      </c>
      <c r="D45" s="30">
        <v>0</v>
      </c>
      <c r="E45" s="30">
        <v>0</v>
      </c>
    </row>
    <row r="46" spans="1:5" s="4" customFormat="1" x14ac:dyDescent="0.25">
      <c r="A46" s="1">
        <f t="shared" si="1"/>
        <v>7</v>
      </c>
      <c r="B46" s="6">
        <v>43875</v>
      </c>
      <c r="C46" s="3">
        <f t="shared" si="0"/>
        <v>0</v>
      </c>
      <c r="D46" s="30">
        <v>0</v>
      </c>
      <c r="E46" s="30">
        <v>0</v>
      </c>
    </row>
    <row r="47" spans="1:5" s="4" customFormat="1" x14ac:dyDescent="0.25">
      <c r="A47" s="1">
        <f t="shared" si="1"/>
        <v>7</v>
      </c>
      <c r="B47" s="6">
        <v>43876</v>
      </c>
      <c r="C47" s="3">
        <f t="shared" si="0"/>
        <v>0</v>
      </c>
      <c r="D47" s="30">
        <v>0</v>
      </c>
      <c r="E47" s="30">
        <v>0</v>
      </c>
    </row>
    <row r="48" spans="1:5" s="4" customFormat="1" x14ac:dyDescent="0.25">
      <c r="A48" s="1">
        <f t="shared" si="1"/>
        <v>7</v>
      </c>
      <c r="B48" s="6">
        <v>43877</v>
      </c>
      <c r="C48" s="3">
        <f t="shared" si="0"/>
        <v>0</v>
      </c>
      <c r="D48" s="30">
        <v>0</v>
      </c>
      <c r="E48" s="30">
        <v>0</v>
      </c>
    </row>
    <row r="49" spans="1:6" s="4" customFormat="1" x14ac:dyDescent="0.25">
      <c r="A49" s="1">
        <f t="shared" si="1"/>
        <v>8</v>
      </c>
      <c r="B49" s="6">
        <v>43878</v>
      </c>
      <c r="C49" s="3">
        <f t="shared" si="0"/>
        <v>0</v>
      </c>
      <c r="D49" s="30">
        <v>0</v>
      </c>
      <c r="E49" s="30">
        <v>0</v>
      </c>
    </row>
    <row r="50" spans="1:6" s="4" customFormat="1" x14ac:dyDescent="0.25">
      <c r="A50" s="1">
        <f t="shared" si="1"/>
        <v>8</v>
      </c>
      <c r="B50" s="6">
        <v>43879</v>
      </c>
      <c r="C50" s="3">
        <f t="shared" si="0"/>
        <v>0</v>
      </c>
      <c r="D50" s="30">
        <v>0</v>
      </c>
      <c r="E50" s="30">
        <v>0</v>
      </c>
    </row>
    <row r="51" spans="1:6" s="4" customFormat="1" x14ac:dyDescent="0.25">
      <c r="A51" s="1">
        <f t="shared" si="1"/>
        <v>8</v>
      </c>
      <c r="B51" s="6">
        <v>43880</v>
      </c>
      <c r="C51" s="3">
        <f t="shared" si="0"/>
        <v>0</v>
      </c>
      <c r="D51" s="30">
        <v>0</v>
      </c>
      <c r="E51" s="30">
        <v>0</v>
      </c>
    </row>
    <row r="52" spans="1:6" s="4" customFormat="1" x14ac:dyDescent="0.25">
      <c r="A52" s="1">
        <f t="shared" si="1"/>
        <v>8</v>
      </c>
      <c r="B52" s="6">
        <v>43881</v>
      </c>
      <c r="C52" s="3">
        <f t="shared" si="0"/>
        <v>0</v>
      </c>
      <c r="D52" s="30">
        <v>0</v>
      </c>
      <c r="E52" s="30">
        <v>0</v>
      </c>
    </row>
    <row r="53" spans="1:6" s="4" customFormat="1" x14ac:dyDescent="0.25">
      <c r="A53" s="1">
        <f t="shared" si="1"/>
        <v>8</v>
      </c>
      <c r="B53" s="6">
        <v>43882</v>
      </c>
      <c r="C53" s="3">
        <f t="shared" si="0"/>
        <v>0</v>
      </c>
      <c r="D53" s="30">
        <v>0</v>
      </c>
      <c r="E53" s="30">
        <v>0</v>
      </c>
    </row>
    <row r="54" spans="1:6" s="4" customFormat="1" x14ac:dyDescent="0.25">
      <c r="A54" s="1">
        <f t="shared" si="1"/>
        <v>8</v>
      </c>
      <c r="B54" s="6">
        <v>43883</v>
      </c>
      <c r="C54" s="3">
        <f t="shared" si="0"/>
        <v>0</v>
      </c>
      <c r="D54" s="30">
        <v>0</v>
      </c>
      <c r="E54" s="30">
        <v>0</v>
      </c>
    </row>
    <row r="55" spans="1:6" s="4" customFormat="1" x14ac:dyDescent="0.25">
      <c r="A55" s="1">
        <f t="shared" si="1"/>
        <v>8</v>
      </c>
      <c r="B55" s="6">
        <v>43884</v>
      </c>
      <c r="C55" s="3">
        <f t="shared" si="0"/>
        <v>0</v>
      </c>
      <c r="D55" s="30">
        <v>0</v>
      </c>
      <c r="E55" s="30">
        <v>0</v>
      </c>
    </row>
    <row r="56" spans="1:6" s="4" customFormat="1" x14ac:dyDescent="0.25">
      <c r="A56" s="1">
        <f t="shared" si="1"/>
        <v>9</v>
      </c>
      <c r="B56" s="6">
        <v>43885</v>
      </c>
      <c r="C56" s="3">
        <f t="shared" si="0"/>
        <v>0</v>
      </c>
      <c r="D56" s="30">
        <v>0</v>
      </c>
      <c r="E56" s="30">
        <v>0</v>
      </c>
    </row>
    <row r="57" spans="1:6" s="4" customFormat="1" x14ac:dyDescent="0.25">
      <c r="A57" s="1">
        <f t="shared" si="1"/>
        <v>9</v>
      </c>
      <c r="B57" s="6">
        <v>43886</v>
      </c>
      <c r="C57" s="3">
        <f t="shared" si="0"/>
        <v>0</v>
      </c>
      <c r="D57" s="30">
        <v>0</v>
      </c>
      <c r="E57" s="30">
        <v>0</v>
      </c>
    </row>
    <row r="58" spans="1:6" s="4" customFormat="1" x14ac:dyDescent="0.25">
      <c r="A58" s="1">
        <f t="shared" si="1"/>
        <v>9</v>
      </c>
      <c r="B58" s="6">
        <v>43887</v>
      </c>
      <c r="C58" s="3">
        <f t="shared" si="0"/>
        <v>0</v>
      </c>
      <c r="D58" s="30">
        <v>0</v>
      </c>
      <c r="E58" s="30">
        <v>0</v>
      </c>
    </row>
    <row r="59" spans="1:6" s="4" customFormat="1" x14ac:dyDescent="0.25">
      <c r="A59" s="1"/>
      <c r="B59" s="6">
        <v>43888</v>
      </c>
      <c r="C59" s="3">
        <f t="shared" si="0"/>
        <v>0</v>
      </c>
      <c r="D59" s="30">
        <v>0</v>
      </c>
      <c r="E59" s="30">
        <v>0</v>
      </c>
    </row>
    <row r="60" spans="1:6" s="4" customFormat="1" x14ac:dyDescent="0.25">
      <c r="A60" s="1">
        <f t="shared" si="1"/>
        <v>9</v>
      </c>
      <c r="B60" s="6">
        <v>43889</v>
      </c>
      <c r="C60" s="3">
        <f t="shared" si="0"/>
        <v>0</v>
      </c>
      <c r="D60" s="30">
        <v>0</v>
      </c>
      <c r="E60" s="30">
        <v>0</v>
      </c>
    </row>
    <row r="61" spans="1:6" s="14" customFormat="1" ht="15.75" thickBot="1" x14ac:dyDescent="0.3">
      <c r="A61" s="13">
        <f t="shared" si="1"/>
        <v>9</v>
      </c>
      <c r="B61" s="6">
        <v>43890</v>
      </c>
      <c r="C61" s="12">
        <f t="shared" si="0"/>
        <v>0</v>
      </c>
      <c r="D61" s="30">
        <v>0</v>
      </c>
      <c r="E61" s="30">
        <v>0</v>
      </c>
      <c r="F61" s="14">
        <f>SUM(C33:C61)</f>
        <v>0</v>
      </c>
    </row>
    <row r="62" spans="1:6" s="4" customFormat="1" ht="15.75" thickTop="1" x14ac:dyDescent="0.25">
      <c r="A62" s="1">
        <f t="shared" si="1"/>
        <v>9</v>
      </c>
      <c r="B62" s="6">
        <v>43891</v>
      </c>
      <c r="C62" s="3">
        <f t="shared" si="0"/>
        <v>0</v>
      </c>
      <c r="D62" s="30">
        <v>0</v>
      </c>
      <c r="E62" s="30">
        <v>0</v>
      </c>
    </row>
    <row r="63" spans="1:6" s="4" customFormat="1" x14ac:dyDescent="0.25">
      <c r="A63" s="1">
        <f t="shared" si="1"/>
        <v>10</v>
      </c>
      <c r="B63" s="6">
        <v>43892</v>
      </c>
      <c r="C63" s="3">
        <f t="shared" si="0"/>
        <v>0</v>
      </c>
      <c r="D63" s="30">
        <v>0</v>
      </c>
      <c r="E63" s="30">
        <v>0</v>
      </c>
    </row>
    <row r="64" spans="1:6" s="4" customFormat="1" x14ac:dyDescent="0.25">
      <c r="A64" s="1">
        <f t="shared" si="1"/>
        <v>10</v>
      </c>
      <c r="B64" s="6">
        <v>43893</v>
      </c>
      <c r="C64" s="3">
        <f t="shared" si="0"/>
        <v>0</v>
      </c>
      <c r="D64" s="30">
        <v>0</v>
      </c>
      <c r="E64" s="30">
        <v>0</v>
      </c>
    </row>
    <row r="65" spans="1:5" s="4" customFormat="1" x14ac:dyDescent="0.25">
      <c r="A65" s="1">
        <f t="shared" si="1"/>
        <v>10</v>
      </c>
      <c r="B65" s="6">
        <v>43894</v>
      </c>
      <c r="C65" s="3">
        <f t="shared" si="0"/>
        <v>0</v>
      </c>
      <c r="D65" s="30">
        <v>0</v>
      </c>
      <c r="E65" s="30">
        <v>0</v>
      </c>
    </row>
    <row r="66" spans="1:5" s="4" customFormat="1" x14ac:dyDescent="0.25">
      <c r="A66" s="1">
        <f t="shared" si="1"/>
        <v>10</v>
      </c>
      <c r="B66" s="6">
        <v>43895</v>
      </c>
      <c r="C66" s="3">
        <f t="shared" ref="C66:C129" si="3">AVERAGE(D66:E66)</f>
        <v>0</v>
      </c>
      <c r="D66" s="30">
        <v>0</v>
      </c>
      <c r="E66" s="30">
        <v>0</v>
      </c>
    </row>
    <row r="67" spans="1:5" s="4" customFormat="1" x14ac:dyDescent="0.25">
      <c r="A67" s="1">
        <f t="shared" ref="A67:A130" si="4">WEEKNUM($B67,2)</f>
        <v>10</v>
      </c>
      <c r="B67" s="6">
        <v>43896</v>
      </c>
      <c r="C67" s="3">
        <f t="shared" si="3"/>
        <v>0</v>
      </c>
      <c r="D67" s="30">
        <v>0</v>
      </c>
      <c r="E67" s="30">
        <v>0</v>
      </c>
    </row>
    <row r="68" spans="1:5" s="4" customFormat="1" x14ac:dyDescent="0.25">
      <c r="A68" s="1">
        <f t="shared" si="4"/>
        <v>10</v>
      </c>
      <c r="B68" s="6">
        <v>43897</v>
      </c>
      <c r="C68" s="3">
        <f t="shared" si="3"/>
        <v>0</v>
      </c>
      <c r="D68" s="30">
        <v>0</v>
      </c>
      <c r="E68" s="30">
        <v>0</v>
      </c>
    </row>
    <row r="69" spans="1:5" s="4" customFormat="1" x14ac:dyDescent="0.25">
      <c r="A69" s="1">
        <f t="shared" si="4"/>
        <v>10</v>
      </c>
      <c r="B69" s="6">
        <v>43898</v>
      </c>
      <c r="C69" s="3">
        <f t="shared" si="3"/>
        <v>0</v>
      </c>
      <c r="D69" s="30">
        <v>0</v>
      </c>
      <c r="E69" s="30">
        <v>0</v>
      </c>
    </row>
    <row r="70" spans="1:5" s="4" customFormat="1" x14ac:dyDescent="0.25">
      <c r="A70" s="1">
        <f t="shared" si="4"/>
        <v>11</v>
      </c>
      <c r="B70" s="6">
        <v>43899</v>
      </c>
      <c r="C70" s="3">
        <f t="shared" si="3"/>
        <v>0</v>
      </c>
      <c r="D70" s="30">
        <v>0</v>
      </c>
      <c r="E70" s="30">
        <v>0</v>
      </c>
    </row>
    <row r="71" spans="1:5" s="4" customFormat="1" x14ac:dyDescent="0.25">
      <c r="A71" s="1">
        <f t="shared" si="4"/>
        <v>11</v>
      </c>
      <c r="B71" s="6">
        <v>43900</v>
      </c>
      <c r="C71" s="3">
        <f t="shared" si="3"/>
        <v>0</v>
      </c>
      <c r="D71" s="30">
        <v>0</v>
      </c>
      <c r="E71" s="30">
        <v>0</v>
      </c>
    </row>
    <row r="72" spans="1:5" s="4" customFormat="1" x14ac:dyDescent="0.25">
      <c r="A72" s="1">
        <f t="shared" si="4"/>
        <v>11</v>
      </c>
      <c r="B72" s="6">
        <v>43901</v>
      </c>
      <c r="C72" s="3">
        <f t="shared" si="3"/>
        <v>0</v>
      </c>
      <c r="D72" s="30">
        <v>0</v>
      </c>
      <c r="E72" s="30">
        <v>0</v>
      </c>
    </row>
    <row r="73" spans="1:5" s="4" customFormat="1" x14ac:dyDescent="0.25">
      <c r="A73" s="1">
        <f t="shared" si="4"/>
        <v>11</v>
      </c>
      <c r="B73" s="6">
        <v>43902</v>
      </c>
      <c r="C73" s="3">
        <f t="shared" si="3"/>
        <v>0</v>
      </c>
      <c r="D73" s="30">
        <v>0</v>
      </c>
      <c r="E73" s="30">
        <v>0</v>
      </c>
    </row>
    <row r="74" spans="1:5" s="4" customFormat="1" x14ac:dyDescent="0.25">
      <c r="A74" s="1">
        <f t="shared" si="4"/>
        <v>11</v>
      </c>
      <c r="B74" s="6">
        <v>43903</v>
      </c>
      <c r="C74" s="3">
        <f t="shared" si="3"/>
        <v>0</v>
      </c>
      <c r="D74" s="30">
        <v>0</v>
      </c>
      <c r="E74" s="30">
        <v>0</v>
      </c>
    </row>
    <row r="75" spans="1:5" s="4" customFormat="1" x14ac:dyDescent="0.25">
      <c r="A75" s="1">
        <f t="shared" si="4"/>
        <v>11</v>
      </c>
      <c r="B75" s="6">
        <v>43904</v>
      </c>
      <c r="C75" s="3">
        <f t="shared" si="3"/>
        <v>0</v>
      </c>
      <c r="D75" s="30">
        <v>0</v>
      </c>
      <c r="E75" s="30">
        <v>0</v>
      </c>
    </row>
    <row r="76" spans="1:5" s="4" customFormat="1" x14ac:dyDescent="0.25">
      <c r="A76" s="1">
        <f t="shared" si="4"/>
        <v>11</v>
      </c>
      <c r="B76" s="6">
        <v>43905</v>
      </c>
      <c r="C76" s="3">
        <f t="shared" si="3"/>
        <v>0</v>
      </c>
      <c r="D76" s="30">
        <v>0</v>
      </c>
      <c r="E76" s="30">
        <v>0</v>
      </c>
    </row>
    <row r="77" spans="1:5" s="4" customFormat="1" x14ac:dyDescent="0.25">
      <c r="A77" s="1">
        <f t="shared" si="4"/>
        <v>12</v>
      </c>
      <c r="B77" s="6">
        <v>43906</v>
      </c>
      <c r="C77" s="3">
        <f t="shared" si="3"/>
        <v>0</v>
      </c>
      <c r="D77" s="30">
        <v>0</v>
      </c>
      <c r="E77" s="30">
        <v>0</v>
      </c>
    </row>
    <row r="78" spans="1:5" s="4" customFormat="1" x14ac:dyDescent="0.25">
      <c r="A78" s="1">
        <f t="shared" si="4"/>
        <v>12</v>
      </c>
      <c r="B78" s="6">
        <v>43907</v>
      </c>
      <c r="C78" s="3">
        <f t="shared" si="3"/>
        <v>5.25</v>
      </c>
      <c r="D78" s="30">
        <v>9</v>
      </c>
      <c r="E78" s="30">
        <v>1.5</v>
      </c>
    </row>
    <row r="79" spans="1:5" s="4" customFormat="1" x14ac:dyDescent="0.25">
      <c r="A79" s="1">
        <f t="shared" si="4"/>
        <v>12</v>
      </c>
      <c r="B79" s="6">
        <v>43908</v>
      </c>
      <c r="C79" s="3">
        <f t="shared" si="3"/>
        <v>0</v>
      </c>
      <c r="D79" s="30">
        <v>0</v>
      </c>
      <c r="E79" s="30">
        <v>0</v>
      </c>
    </row>
    <row r="80" spans="1:5" s="4" customFormat="1" x14ac:dyDescent="0.25">
      <c r="A80" s="1">
        <f t="shared" si="4"/>
        <v>12</v>
      </c>
      <c r="B80" s="6">
        <v>43909</v>
      </c>
      <c r="C80" s="3">
        <f t="shared" si="3"/>
        <v>0</v>
      </c>
      <c r="D80" s="30">
        <v>0</v>
      </c>
      <c r="E80" s="30">
        <v>0</v>
      </c>
    </row>
    <row r="81" spans="1:6" s="4" customFormat="1" x14ac:dyDescent="0.25">
      <c r="A81" s="1">
        <f t="shared" si="4"/>
        <v>12</v>
      </c>
      <c r="B81" s="6">
        <v>43910</v>
      </c>
      <c r="C81" s="3">
        <f t="shared" si="3"/>
        <v>0</v>
      </c>
      <c r="D81" s="30">
        <v>0</v>
      </c>
      <c r="E81" s="30">
        <v>0</v>
      </c>
    </row>
    <row r="82" spans="1:6" s="4" customFormat="1" x14ac:dyDescent="0.25">
      <c r="A82" s="1">
        <f t="shared" si="4"/>
        <v>12</v>
      </c>
      <c r="B82" s="6">
        <v>43911</v>
      </c>
      <c r="C82" s="3">
        <f t="shared" si="3"/>
        <v>0</v>
      </c>
      <c r="D82" s="30">
        <v>0</v>
      </c>
      <c r="E82" s="30">
        <v>0</v>
      </c>
    </row>
    <row r="83" spans="1:6" s="4" customFormat="1" x14ac:dyDescent="0.25">
      <c r="A83" s="1">
        <f t="shared" si="4"/>
        <v>12</v>
      </c>
      <c r="B83" s="6">
        <v>43912</v>
      </c>
      <c r="C83" s="3">
        <f t="shared" si="3"/>
        <v>0</v>
      </c>
      <c r="D83" s="30">
        <v>0</v>
      </c>
      <c r="E83" s="30">
        <v>0</v>
      </c>
    </row>
    <row r="84" spans="1:6" s="4" customFormat="1" x14ac:dyDescent="0.25">
      <c r="A84" s="1">
        <f t="shared" si="4"/>
        <v>13</v>
      </c>
      <c r="B84" s="6">
        <v>43913</v>
      </c>
      <c r="C84" s="3">
        <f t="shared" si="3"/>
        <v>0</v>
      </c>
      <c r="D84" s="30">
        <v>0</v>
      </c>
      <c r="E84" s="30">
        <v>0</v>
      </c>
    </row>
    <row r="85" spans="1:6" s="4" customFormat="1" x14ac:dyDescent="0.25">
      <c r="A85" s="1">
        <f t="shared" si="4"/>
        <v>13</v>
      </c>
      <c r="B85" s="6">
        <v>43914</v>
      </c>
      <c r="C85" s="3">
        <f t="shared" si="3"/>
        <v>0</v>
      </c>
      <c r="D85" s="30">
        <v>0</v>
      </c>
      <c r="E85" s="30">
        <v>0</v>
      </c>
    </row>
    <row r="86" spans="1:6" s="4" customFormat="1" x14ac:dyDescent="0.25">
      <c r="A86" s="1">
        <f t="shared" si="4"/>
        <v>13</v>
      </c>
      <c r="B86" s="6">
        <v>43915</v>
      </c>
      <c r="C86" s="3">
        <f t="shared" si="3"/>
        <v>0</v>
      </c>
      <c r="D86" s="30">
        <v>0</v>
      </c>
      <c r="E86" s="30">
        <v>0</v>
      </c>
    </row>
    <row r="87" spans="1:6" s="4" customFormat="1" x14ac:dyDescent="0.25">
      <c r="A87" s="1">
        <f t="shared" si="4"/>
        <v>13</v>
      </c>
      <c r="B87" s="6">
        <v>43916</v>
      </c>
      <c r="C87" s="3">
        <f t="shared" si="3"/>
        <v>0</v>
      </c>
      <c r="D87" s="30">
        <v>0</v>
      </c>
      <c r="E87" s="30">
        <v>0</v>
      </c>
    </row>
    <row r="88" spans="1:6" s="4" customFormat="1" x14ac:dyDescent="0.25">
      <c r="A88" s="1">
        <f t="shared" si="4"/>
        <v>13</v>
      </c>
      <c r="B88" s="6">
        <v>43917</v>
      </c>
      <c r="C88" s="3">
        <f t="shared" si="3"/>
        <v>0</v>
      </c>
      <c r="D88" s="30">
        <v>0</v>
      </c>
      <c r="E88" s="30">
        <v>0</v>
      </c>
    </row>
    <row r="89" spans="1:6" s="4" customFormat="1" x14ac:dyDescent="0.25">
      <c r="A89" s="1">
        <f t="shared" si="4"/>
        <v>13</v>
      </c>
      <c r="B89" s="6">
        <v>43918</v>
      </c>
      <c r="C89" s="3">
        <f t="shared" si="3"/>
        <v>0</v>
      </c>
      <c r="D89" s="30">
        <v>0</v>
      </c>
      <c r="E89" s="30">
        <v>0</v>
      </c>
    </row>
    <row r="90" spans="1:6" s="4" customFormat="1" x14ac:dyDescent="0.25">
      <c r="A90" s="1">
        <f t="shared" si="4"/>
        <v>13</v>
      </c>
      <c r="B90" s="6">
        <v>43919</v>
      </c>
      <c r="C90" s="17">
        <f t="shared" si="3"/>
        <v>1.75</v>
      </c>
      <c r="D90" s="30">
        <v>1</v>
      </c>
      <c r="E90" s="30">
        <v>2.5</v>
      </c>
    </row>
    <row r="91" spans="1:6" s="4" customFormat="1" x14ac:dyDescent="0.25">
      <c r="A91" s="18"/>
      <c r="B91" s="6">
        <v>43920</v>
      </c>
      <c r="C91" s="17">
        <f t="shared" si="3"/>
        <v>0</v>
      </c>
      <c r="D91" s="30">
        <v>0</v>
      </c>
      <c r="E91" s="30">
        <v>0</v>
      </c>
    </row>
    <row r="92" spans="1:6" s="14" customFormat="1" ht="15.75" thickBot="1" x14ac:dyDescent="0.3">
      <c r="A92" s="13">
        <f t="shared" si="4"/>
        <v>14</v>
      </c>
      <c r="B92" s="6">
        <v>43921</v>
      </c>
      <c r="C92" s="19">
        <f t="shared" si="3"/>
        <v>0</v>
      </c>
      <c r="D92" s="1">
        <v>0</v>
      </c>
      <c r="E92" s="1">
        <v>0</v>
      </c>
      <c r="F92" s="14">
        <f>SUM(C64:C92)</f>
        <v>7</v>
      </c>
    </row>
    <row r="93" spans="1:6" s="4" customFormat="1" ht="15.75" thickTop="1" x14ac:dyDescent="0.25">
      <c r="A93" s="1">
        <f t="shared" si="4"/>
        <v>14</v>
      </c>
      <c r="B93" s="6">
        <v>43922</v>
      </c>
      <c r="C93" s="17">
        <f t="shared" si="3"/>
        <v>0</v>
      </c>
      <c r="D93" s="32">
        <v>0</v>
      </c>
      <c r="E93" s="32">
        <v>0</v>
      </c>
    </row>
    <row r="94" spans="1:6" s="4" customFormat="1" x14ac:dyDescent="0.25">
      <c r="A94" s="1">
        <f t="shared" si="4"/>
        <v>14</v>
      </c>
      <c r="B94" s="6">
        <v>43923</v>
      </c>
      <c r="C94" s="17">
        <f t="shared" si="3"/>
        <v>0</v>
      </c>
      <c r="D94" s="30">
        <v>0</v>
      </c>
      <c r="E94" s="30">
        <v>0</v>
      </c>
    </row>
    <row r="95" spans="1:6" s="4" customFormat="1" x14ac:dyDescent="0.25">
      <c r="A95" s="1">
        <f t="shared" si="4"/>
        <v>14</v>
      </c>
      <c r="B95" s="6">
        <v>43924</v>
      </c>
      <c r="C95" s="17">
        <f t="shared" si="3"/>
        <v>0</v>
      </c>
      <c r="D95" s="30">
        <v>0</v>
      </c>
      <c r="E95" s="30">
        <v>0</v>
      </c>
    </row>
    <row r="96" spans="1:6" s="4" customFormat="1" x14ac:dyDescent="0.25">
      <c r="A96" s="1">
        <f t="shared" si="4"/>
        <v>14</v>
      </c>
      <c r="B96" s="6">
        <v>43925</v>
      </c>
      <c r="C96" s="17">
        <f t="shared" si="3"/>
        <v>0</v>
      </c>
      <c r="D96" s="30">
        <v>0</v>
      </c>
      <c r="E96" s="30">
        <v>0</v>
      </c>
    </row>
    <row r="97" spans="1:5" s="4" customFormat="1" x14ac:dyDescent="0.25">
      <c r="A97" s="1">
        <f t="shared" si="4"/>
        <v>14</v>
      </c>
      <c r="B97" s="6">
        <v>43926</v>
      </c>
      <c r="C97" s="17">
        <f t="shared" si="3"/>
        <v>0</v>
      </c>
      <c r="D97" s="30">
        <v>0</v>
      </c>
      <c r="E97" s="30">
        <v>0</v>
      </c>
    </row>
    <row r="98" spans="1:5" s="4" customFormat="1" x14ac:dyDescent="0.25">
      <c r="A98" s="1">
        <f t="shared" si="4"/>
        <v>15</v>
      </c>
      <c r="B98" s="6">
        <v>43927</v>
      </c>
      <c r="C98" s="17">
        <f t="shared" si="3"/>
        <v>0</v>
      </c>
      <c r="D98" s="30">
        <v>0</v>
      </c>
      <c r="E98" s="30">
        <v>0</v>
      </c>
    </row>
    <row r="99" spans="1:5" s="4" customFormat="1" x14ac:dyDescent="0.25">
      <c r="A99" s="1">
        <f t="shared" si="4"/>
        <v>15</v>
      </c>
      <c r="B99" s="6">
        <v>43928</v>
      </c>
      <c r="C99" s="17">
        <f t="shared" si="3"/>
        <v>0</v>
      </c>
      <c r="D99" s="30">
        <v>0</v>
      </c>
      <c r="E99" s="30">
        <v>0</v>
      </c>
    </row>
    <row r="100" spans="1:5" s="4" customFormat="1" x14ac:dyDescent="0.25">
      <c r="A100" s="1">
        <f t="shared" si="4"/>
        <v>15</v>
      </c>
      <c r="B100" s="6">
        <v>43929</v>
      </c>
      <c r="C100" s="17">
        <f t="shared" si="3"/>
        <v>1.55</v>
      </c>
      <c r="D100" s="30">
        <v>2.1</v>
      </c>
      <c r="E100" s="30">
        <v>1</v>
      </c>
    </row>
    <row r="101" spans="1:5" s="4" customFormat="1" x14ac:dyDescent="0.25">
      <c r="A101" s="1">
        <f t="shared" si="4"/>
        <v>15</v>
      </c>
      <c r="B101" s="6">
        <v>43930</v>
      </c>
      <c r="C101" s="17">
        <f t="shared" si="3"/>
        <v>0</v>
      </c>
      <c r="D101" s="30">
        <v>0</v>
      </c>
      <c r="E101" s="30">
        <v>0</v>
      </c>
    </row>
    <row r="102" spans="1:5" s="4" customFormat="1" x14ac:dyDescent="0.25">
      <c r="A102" s="1">
        <f t="shared" si="4"/>
        <v>15</v>
      </c>
      <c r="B102" s="6">
        <v>43931</v>
      </c>
      <c r="C102" s="17">
        <f t="shared" si="3"/>
        <v>0</v>
      </c>
      <c r="D102" s="30">
        <v>0</v>
      </c>
      <c r="E102" s="30">
        <v>0</v>
      </c>
    </row>
    <row r="103" spans="1:5" s="4" customFormat="1" x14ac:dyDescent="0.25">
      <c r="A103" s="1">
        <f t="shared" si="4"/>
        <v>15</v>
      </c>
      <c r="B103" s="6">
        <v>43932</v>
      </c>
      <c r="C103" s="17">
        <f t="shared" si="3"/>
        <v>0</v>
      </c>
      <c r="D103" s="30">
        <v>0</v>
      </c>
      <c r="E103" s="30">
        <v>0</v>
      </c>
    </row>
    <row r="104" spans="1:5" s="4" customFormat="1" x14ac:dyDescent="0.25">
      <c r="A104" s="1">
        <f t="shared" si="4"/>
        <v>15</v>
      </c>
      <c r="B104" s="6">
        <v>43933</v>
      </c>
      <c r="C104" s="17">
        <f t="shared" si="3"/>
        <v>0</v>
      </c>
      <c r="D104" s="30">
        <v>0</v>
      </c>
      <c r="E104" s="30">
        <v>0</v>
      </c>
    </row>
    <row r="105" spans="1:5" s="4" customFormat="1" x14ac:dyDescent="0.25">
      <c r="A105" s="1">
        <f t="shared" si="4"/>
        <v>16</v>
      </c>
      <c r="B105" s="6">
        <v>43934</v>
      </c>
      <c r="C105" s="17">
        <f t="shared" si="3"/>
        <v>0</v>
      </c>
      <c r="D105" s="30">
        <v>0</v>
      </c>
      <c r="E105" s="30">
        <v>0</v>
      </c>
    </row>
    <row r="106" spans="1:5" s="4" customFormat="1" x14ac:dyDescent="0.25">
      <c r="A106" s="1">
        <f t="shared" si="4"/>
        <v>16</v>
      </c>
      <c r="B106" s="6">
        <v>43935</v>
      </c>
      <c r="C106" s="17">
        <f t="shared" si="3"/>
        <v>0</v>
      </c>
      <c r="D106" s="30">
        <v>0</v>
      </c>
      <c r="E106" s="30">
        <v>0</v>
      </c>
    </row>
    <row r="107" spans="1:5" s="4" customFormat="1" x14ac:dyDescent="0.25">
      <c r="A107" s="1">
        <f t="shared" si="4"/>
        <v>16</v>
      </c>
      <c r="B107" s="6">
        <v>43936</v>
      </c>
      <c r="C107" s="17">
        <f t="shared" si="3"/>
        <v>0</v>
      </c>
      <c r="D107" s="30">
        <v>0</v>
      </c>
      <c r="E107" s="30">
        <v>0</v>
      </c>
    </row>
    <row r="108" spans="1:5" s="4" customFormat="1" x14ac:dyDescent="0.25">
      <c r="A108" s="1">
        <f t="shared" si="4"/>
        <v>16</v>
      </c>
      <c r="B108" s="6">
        <v>43937</v>
      </c>
      <c r="C108" s="17">
        <f t="shared" si="3"/>
        <v>0</v>
      </c>
      <c r="D108" s="30">
        <v>0</v>
      </c>
      <c r="E108" s="30">
        <v>0</v>
      </c>
    </row>
    <row r="109" spans="1:5" s="4" customFormat="1" x14ac:dyDescent="0.25">
      <c r="A109" s="1">
        <f t="shared" si="4"/>
        <v>16</v>
      </c>
      <c r="B109" s="6">
        <v>43938</v>
      </c>
      <c r="C109" s="17">
        <f t="shared" si="3"/>
        <v>0</v>
      </c>
      <c r="D109" s="30">
        <v>0</v>
      </c>
      <c r="E109" s="30">
        <v>0</v>
      </c>
    </row>
    <row r="110" spans="1:5" s="4" customFormat="1" x14ac:dyDescent="0.25">
      <c r="A110" s="1">
        <f t="shared" si="4"/>
        <v>16</v>
      </c>
      <c r="B110" s="6">
        <v>43939</v>
      </c>
      <c r="C110" s="17">
        <f t="shared" si="3"/>
        <v>0</v>
      </c>
      <c r="D110" s="30">
        <v>0</v>
      </c>
      <c r="E110" s="30">
        <v>0</v>
      </c>
    </row>
    <row r="111" spans="1:5" s="4" customFormat="1" x14ac:dyDescent="0.25">
      <c r="A111" s="1">
        <f t="shared" si="4"/>
        <v>16</v>
      </c>
      <c r="B111" s="6">
        <v>43940</v>
      </c>
      <c r="C111" s="17">
        <f t="shared" si="3"/>
        <v>0</v>
      </c>
      <c r="D111" s="30">
        <v>0</v>
      </c>
      <c r="E111" s="30">
        <v>0</v>
      </c>
    </row>
    <row r="112" spans="1:5" s="4" customFormat="1" x14ac:dyDescent="0.25">
      <c r="A112" s="1">
        <f t="shared" si="4"/>
        <v>17</v>
      </c>
      <c r="B112" s="6">
        <v>43941</v>
      </c>
      <c r="C112" s="17">
        <f t="shared" si="3"/>
        <v>4.5</v>
      </c>
      <c r="D112" s="30">
        <v>4.5</v>
      </c>
      <c r="E112" s="30">
        <v>4.5</v>
      </c>
    </row>
    <row r="113" spans="1:6" s="4" customFormat="1" x14ac:dyDescent="0.25">
      <c r="A113" s="1">
        <f t="shared" si="4"/>
        <v>17</v>
      </c>
      <c r="B113" s="6">
        <v>43942</v>
      </c>
      <c r="C113" s="17">
        <f t="shared" si="3"/>
        <v>0</v>
      </c>
      <c r="D113" s="30">
        <v>0</v>
      </c>
      <c r="E113" s="30">
        <v>0</v>
      </c>
    </row>
    <row r="114" spans="1:6" s="4" customFormat="1" x14ac:dyDescent="0.25">
      <c r="A114" s="1">
        <f t="shared" si="4"/>
        <v>17</v>
      </c>
      <c r="B114" s="6">
        <v>43943</v>
      </c>
      <c r="C114" s="17">
        <f t="shared" si="3"/>
        <v>0</v>
      </c>
      <c r="D114" s="30">
        <v>0</v>
      </c>
      <c r="E114" s="30">
        <v>0</v>
      </c>
    </row>
    <row r="115" spans="1:6" s="4" customFormat="1" x14ac:dyDescent="0.25">
      <c r="A115" s="1">
        <f t="shared" si="4"/>
        <v>17</v>
      </c>
      <c r="B115" s="6">
        <v>43944</v>
      </c>
      <c r="C115" s="17">
        <f t="shared" si="3"/>
        <v>0</v>
      </c>
      <c r="D115" s="30">
        <v>0</v>
      </c>
      <c r="E115" s="30">
        <v>0</v>
      </c>
    </row>
    <row r="116" spans="1:6" s="4" customFormat="1" x14ac:dyDescent="0.25">
      <c r="A116" s="1">
        <f t="shared" si="4"/>
        <v>17</v>
      </c>
      <c r="B116" s="6">
        <v>43945</v>
      </c>
      <c r="C116" s="17">
        <f t="shared" si="3"/>
        <v>0</v>
      </c>
      <c r="D116" s="30">
        <v>0</v>
      </c>
      <c r="E116" s="30">
        <v>0</v>
      </c>
    </row>
    <row r="117" spans="1:6" s="4" customFormat="1" x14ac:dyDescent="0.25">
      <c r="A117" s="1">
        <f t="shared" si="4"/>
        <v>17</v>
      </c>
      <c r="B117" s="6">
        <v>43946</v>
      </c>
      <c r="C117" s="17">
        <f t="shared" si="3"/>
        <v>0</v>
      </c>
      <c r="D117" s="30">
        <v>0</v>
      </c>
      <c r="E117" s="30">
        <v>0</v>
      </c>
    </row>
    <row r="118" spans="1:6" s="4" customFormat="1" x14ac:dyDescent="0.25">
      <c r="A118" s="1">
        <f t="shared" si="4"/>
        <v>17</v>
      </c>
      <c r="B118" s="6">
        <v>43947</v>
      </c>
      <c r="C118" s="17">
        <f t="shared" si="3"/>
        <v>0</v>
      </c>
      <c r="D118" s="30">
        <v>0</v>
      </c>
      <c r="E118" s="30">
        <v>0</v>
      </c>
    </row>
    <row r="119" spans="1:6" s="4" customFormat="1" x14ac:dyDescent="0.25">
      <c r="A119" s="1">
        <f t="shared" si="4"/>
        <v>18</v>
      </c>
      <c r="B119" s="6">
        <v>43948</v>
      </c>
      <c r="C119" s="17">
        <f t="shared" si="3"/>
        <v>0</v>
      </c>
      <c r="D119" s="30">
        <v>0</v>
      </c>
      <c r="E119" s="30">
        <v>0</v>
      </c>
    </row>
    <row r="120" spans="1:6" s="4" customFormat="1" x14ac:dyDescent="0.25">
      <c r="A120" s="1"/>
      <c r="B120" s="6">
        <v>43949</v>
      </c>
      <c r="C120" s="17">
        <f t="shared" si="3"/>
        <v>0</v>
      </c>
      <c r="D120" s="30">
        <v>0</v>
      </c>
      <c r="E120" s="30">
        <v>0</v>
      </c>
    </row>
    <row r="121" spans="1:6" s="4" customFormat="1" x14ac:dyDescent="0.25">
      <c r="A121" s="1">
        <f t="shared" si="4"/>
        <v>18</v>
      </c>
      <c r="B121" s="6">
        <v>43950</v>
      </c>
      <c r="C121" s="17">
        <f t="shared" si="3"/>
        <v>0</v>
      </c>
      <c r="D121" s="30">
        <v>0</v>
      </c>
      <c r="E121" s="30">
        <v>0</v>
      </c>
    </row>
    <row r="122" spans="1:6" s="14" customFormat="1" ht="15.75" thickBot="1" x14ac:dyDescent="0.3">
      <c r="A122" s="13">
        <f t="shared" si="4"/>
        <v>18</v>
      </c>
      <c r="B122" s="6">
        <v>43951</v>
      </c>
      <c r="C122" s="19">
        <f t="shared" si="3"/>
        <v>0</v>
      </c>
      <c r="D122" s="30">
        <v>0</v>
      </c>
      <c r="E122" s="30">
        <v>0</v>
      </c>
      <c r="F122" s="20">
        <f>SUM(C93:C122)</f>
        <v>6.05</v>
      </c>
    </row>
    <row r="123" spans="1:6" s="4" customFormat="1" ht="15.75" thickTop="1" x14ac:dyDescent="0.25">
      <c r="A123" s="1">
        <f t="shared" si="4"/>
        <v>18</v>
      </c>
      <c r="B123" s="6">
        <v>43952</v>
      </c>
      <c r="C123" s="17">
        <f t="shared" si="3"/>
        <v>0</v>
      </c>
      <c r="D123" s="30">
        <v>0</v>
      </c>
      <c r="E123" s="30">
        <v>0</v>
      </c>
    </row>
    <row r="124" spans="1:6" s="4" customFormat="1" x14ac:dyDescent="0.25">
      <c r="A124" s="1">
        <f t="shared" si="4"/>
        <v>18</v>
      </c>
      <c r="B124" s="6">
        <v>43953</v>
      </c>
      <c r="C124" s="17">
        <f t="shared" si="3"/>
        <v>0</v>
      </c>
      <c r="D124" s="30">
        <v>0</v>
      </c>
      <c r="E124" s="30">
        <v>0</v>
      </c>
    </row>
    <row r="125" spans="1:6" s="4" customFormat="1" x14ac:dyDescent="0.25">
      <c r="A125" s="1">
        <f t="shared" si="4"/>
        <v>18</v>
      </c>
      <c r="B125" s="6">
        <v>43954</v>
      </c>
      <c r="C125" s="17">
        <f t="shared" si="3"/>
        <v>0</v>
      </c>
      <c r="D125" s="30">
        <v>0</v>
      </c>
      <c r="E125" s="30">
        <v>0</v>
      </c>
    </row>
    <row r="126" spans="1:6" s="4" customFormat="1" x14ac:dyDescent="0.25">
      <c r="A126" s="1">
        <f t="shared" si="4"/>
        <v>19</v>
      </c>
      <c r="B126" s="6">
        <v>43955</v>
      </c>
      <c r="C126" s="17">
        <f t="shared" si="3"/>
        <v>27.75</v>
      </c>
      <c r="D126" s="30">
        <v>28.5</v>
      </c>
      <c r="E126" s="30">
        <v>27</v>
      </c>
    </row>
    <row r="127" spans="1:6" s="4" customFormat="1" x14ac:dyDescent="0.25">
      <c r="A127" s="1">
        <f t="shared" si="4"/>
        <v>19</v>
      </c>
      <c r="B127" s="6">
        <v>43956</v>
      </c>
      <c r="C127" s="17">
        <f t="shared" si="3"/>
        <v>0</v>
      </c>
      <c r="D127" s="30">
        <v>0</v>
      </c>
      <c r="E127" s="30">
        <v>0</v>
      </c>
    </row>
    <row r="128" spans="1:6" s="4" customFormat="1" x14ac:dyDescent="0.25">
      <c r="A128" s="1">
        <f t="shared" si="4"/>
        <v>19</v>
      </c>
      <c r="B128" s="6">
        <v>43957</v>
      </c>
      <c r="C128" s="17">
        <f t="shared" si="3"/>
        <v>18.75</v>
      </c>
      <c r="D128" s="30">
        <v>17.5</v>
      </c>
      <c r="E128" s="30">
        <v>20</v>
      </c>
    </row>
    <row r="129" spans="1:5" s="4" customFormat="1" x14ac:dyDescent="0.25">
      <c r="A129" s="1">
        <f t="shared" si="4"/>
        <v>19</v>
      </c>
      <c r="B129" s="6">
        <v>43958</v>
      </c>
      <c r="C129" s="17">
        <f t="shared" si="3"/>
        <v>0</v>
      </c>
      <c r="D129" s="30">
        <v>0</v>
      </c>
      <c r="E129" s="30">
        <v>0</v>
      </c>
    </row>
    <row r="130" spans="1:5" s="4" customFormat="1" x14ac:dyDescent="0.25">
      <c r="A130" s="1">
        <f t="shared" si="4"/>
        <v>19</v>
      </c>
      <c r="B130" s="6">
        <v>43959</v>
      </c>
      <c r="C130" s="17">
        <f t="shared" ref="C130:C193" si="5">AVERAGE(D130:E130)</f>
        <v>0</v>
      </c>
      <c r="D130" s="30">
        <v>0</v>
      </c>
      <c r="E130" s="30">
        <v>0</v>
      </c>
    </row>
    <row r="131" spans="1:5" s="4" customFormat="1" x14ac:dyDescent="0.25">
      <c r="A131" s="1">
        <f t="shared" ref="A131:A194" si="6">WEEKNUM($B131,2)</f>
        <v>19</v>
      </c>
      <c r="B131" s="6">
        <v>43960</v>
      </c>
      <c r="C131" s="17">
        <f t="shared" si="5"/>
        <v>0</v>
      </c>
      <c r="D131" s="30">
        <v>0</v>
      </c>
      <c r="E131" s="30">
        <v>0</v>
      </c>
    </row>
    <row r="132" spans="1:5" s="4" customFormat="1" x14ac:dyDescent="0.25">
      <c r="A132" s="1">
        <f t="shared" si="6"/>
        <v>19</v>
      </c>
      <c r="B132" s="6">
        <v>43961</v>
      </c>
      <c r="C132" s="17">
        <f t="shared" si="5"/>
        <v>3.75</v>
      </c>
      <c r="D132" s="30">
        <v>4.5</v>
      </c>
      <c r="E132" s="30">
        <v>3</v>
      </c>
    </row>
    <row r="133" spans="1:5" s="4" customFormat="1" x14ac:dyDescent="0.25">
      <c r="A133" s="1">
        <f t="shared" si="6"/>
        <v>20</v>
      </c>
      <c r="B133" s="6">
        <v>43962</v>
      </c>
      <c r="C133" s="17">
        <f t="shared" si="5"/>
        <v>0</v>
      </c>
      <c r="D133" s="30">
        <v>0</v>
      </c>
      <c r="E133" s="30">
        <v>0</v>
      </c>
    </row>
    <row r="134" spans="1:5" s="4" customFormat="1" x14ac:dyDescent="0.25">
      <c r="A134" s="1">
        <f t="shared" si="6"/>
        <v>20</v>
      </c>
      <c r="B134" s="6">
        <v>43963</v>
      </c>
      <c r="C134" s="17">
        <f t="shared" si="5"/>
        <v>0</v>
      </c>
      <c r="D134" s="30">
        <v>0</v>
      </c>
      <c r="E134" s="30">
        <v>0</v>
      </c>
    </row>
    <row r="135" spans="1:5" s="4" customFormat="1" x14ac:dyDescent="0.25">
      <c r="A135" s="1">
        <f t="shared" si="6"/>
        <v>20</v>
      </c>
      <c r="B135" s="6">
        <v>43964</v>
      </c>
      <c r="C135" s="17">
        <f t="shared" si="5"/>
        <v>0</v>
      </c>
      <c r="D135" s="30">
        <v>0</v>
      </c>
      <c r="E135" s="30">
        <v>0</v>
      </c>
    </row>
    <row r="136" spans="1:5" s="4" customFormat="1" x14ac:dyDescent="0.25">
      <c r="A136" s="1">
        <f t="shared" si="6"/>
        <v>20</v>
      </c>
      <c r="B136" s="6">
        <v>43965</v>
      </c>
      <c r="C136" s="17">
        <f t="shared" si="5"/>
        <v>13.65</v>
      </c>
      <c r="D136" s="30">
        <v>20.3</v>
      </c>
      <c r="E136" s="30">
        <v>7</v>
      </c>
    </row>
    <row r="137" spans="1:5" s="4" customFormat="1" x14ac:dyDescent="0.25">
      <c r="A137" s="1">
        <f t="shared" si="6"/>
        <v>20</v>
      </c>
      <c r="B137" s="6">
        <v>43966</v>
      </c>
      <c r="C137" s="17">
        <f t="shared" si="5"/>
        <v>0</v>
      </c>
      <c r="D137" s="30">
        <v>0</v>
      </c>
      <c r="E137" s="30">
        <v>0</v>
      </c>
    </row>
    <row r="138" spans="1:5" s="4" customFormat="1" x14ac:dyDescent="0.25">
      <c r="A138" s="1">
        <f t="shared" si="6"/>
        <v>20</v>
      </c>
      <c r="B138" s="6">
        <v>43967</v>
      </c>
      <c r="C138" s="17">
        <f t="shared" si="5"/>
        <v>0</v>
      </c>
      <c r="D138" s="30">
        <v>0</v>
      </c>
      <c r="E138" s="30">
        <v>0</v>
      </c>
    </row>
    <row r="139" spans="1:5" s="4" customFormat="1" x14ac:dyDescent="0.25">
      <c r="A139" s="1">
        <f t="shared" si="6"/>
        <v>20</v>
      </c>
      <c r="B139" s="6">
        <v>43968</v>
      </c>
      <c r="C139" s="17">
        <f t="shared" si="5"/>
        <v>0</v>
      </c>
      <c r="D139" s="30">
        <v>0</v>
      </c>
      <c r="E139" s="30">
        <v>0</v>
      </c>
    </row>
    <row r="140" spans="1:5" s="4" customFormat="1" x14ac:dyDescent="0.25">
      <c r="A140" s="1">
        <f t="shared" si="6"/>
        <v>21</v>
      </c>
      <c r="B140" s="6">
        <v>43969</v>
      </c>
      <c r="C140" s="17">
        <f t="shared" si="5"/>
        <v>0</v>
      </c>
      <c r="D140" s="30">
        <v>0</v>
      </c>
      <c r="E140" s="30">
        <v>0</v>
      </c>
    </row>
    <row r="141" spans="1:5" s="4" customFormat="1" x14ac:dyDescent="0.25">
      <c r="A141" s="1">
        <f t="shared" si="6"/>
        <v>21</v>
      </c>
      <c r="B141" s="6">
        <v>43970</v>
      </c>
      <c r="C141" s="17">
        <f t="shared" si="5"/>
        <v>14.5</v>
      </c>
      <c r="D141" s="30">
        <v>7.5</v>
      </c>
      <c r="E141" s="30">
        <v>21.5</v>
      </c>
    </row>
    <row r="142" spans="1:5" s="4" customFormat="1" x14ac:dyDescent="0.25">
      <c r="A142" s="1">
        <f t="shared" si="6"/>
        <v>21</v>
      </c>
      <c r="B142" s="6">
        <v>43971</v>
      </c>
      <c r="C142" s="17">
        <f t="shared" si="5"/>
        <v>0</v>
      </c>
      <c r="D142" s="30">
        <v>0</v>
      </c>
      <c r="E142" s="30">
        <v>0</v>
      </c>
    </row>
    <row r="143" spans="1:5" s="4" customFormat="1" x14ac:dyDescent="0.25">
      <c r="A143" s="1">
        <f t="shared" si="6"/>
        <v>21</v>
      </c>
      <c r="B143" s="6">
        <v>43972</v>
      </c>
      <c r="C143" s="17">
        <f t="shared" si="5"/>
        <v>0</v>
      </c>
      <c r="D143" s="30">
        <v>0</v>
      </c>
      <c r="E143" s="30">
        <v>0</v>
      </c>
    </row>
    <row r="144" spans="1:5" s="4" customFormat="1" x14ac:dyDescent="0.25">
      <c r="A144" s="1">
        <f t="shared" si="6"/>
        <v>21</v>
      </c>
      <c r="B144" s="6">
        <v>43973</v>
      </c>
      <c r="C144" s="17">
        <f t="shared" si="5"/>
        <v>0</v>
      </c>
      <c r="D144" s="30">
        <v>0</v>
      </c>
      <c r="E144" s="30">
        <v>0</v>
      </c>
    </row>
    <row r="145" spans="1:6" s="4" customFormat="1" x14ac:dyDescent="0.25">
      <c r="A145" s="1">
        <f t="shared" si="6"/>
        <v>21</v>
      </c>
      <c r="B145" s="6">
        <v>43974</v>
      </c>
      <c r="C145" s="17">
        <f t="shared" si="5"/>
        <v>1</v>
      </c>
      <c r="D145" s="30">
        <v>2</v>
      </c>
      <c r="E145" s="30">
        <v>0</v>
      </c>
    </row>
    <row r="146" spans="1:6" s="4" customFormat="1" x14ac:dyDescent="0.25">
      <c r="A146" s="1">
        <f t="shared" si="6"/>
        <v>21</v>
      </c>
      <c r="B146" s="6">
        <v>43975</v>
      </c>
      <c r="C146" s="17">
        <f t="shared" si="5"/>
        <v>0</v>
      </c>
      <c r="D146" s="30">
        <v>0</v>
      </c>
      <c r="E146" s="30">
        <v>0</v>
      </c>
    </row>
    <row r="147" spans="1:6" s="4" customFormat="1" x14ac:dyDescent="0.25">
      <c r="A147" s="1">
        <f t="shared" si="6"/>
        <v>22</v>
      </c>
      <c r="B147" s="6">
        <v>43976</v>
      </c>
      <c r="C147" s="17">
        <f t="shared" si="5"/>
        <v>0</v>
      </c>
      <c r="D147" s="30">
        <v>0</v>
      </c>
      <c r="E147" s="30">
        <v>0</v>
      </c>
    </row>
    <row r="148" spans="1:6" s="4" customFormat="1" x14ac:dyDescent="0.25">
      <c r="A148" s="1">
        <f t="shared" si="6"/>
        <v>22</v>
      </c>
      <c r="B148" s="6">
        <v>43977</v>
      </c>
      <c r="C148" s="17">
        <f t="shared" si="5"/>
        <v>0</v>
      </c>
      <c r="D148" s="30">
        <v>0</v>
      </c>
      <c r="E148" s="30">
        <v>0</v>
      </c>
    </row>
    <row r="149" spans="1:6" s="4" customFormat="1" x14ac:dyDescent="0.25">
      <c r="A149" s="1">
        <f t="shared" si="6"/>
        <v>22</v>
      </c>
      <c r="B149" s="6">
        <v>43978</v>
      </c>
      <c r="C149" s="17">
        <f t="shared" si="5"/>
        <v>22</v>
      </c>
      <c r="D149" s="30">
        <v>5</v>
      </c>
      <c r="E149" s="30">
        <v>39</v>
      </c>
    </row>
    <row r="150" spans="1:6" s="4" customFormat="1" x14ac:dyDescent="0.25">
      <c r="A150" s="1">
        <f t="shared" si="6"/>
        <v>22</v>
      </c>
      <c r="B150" s="6">
        <v>43979</v>
      </c>
      <c r="C150" s="17">
        <f t="shared" si="5"/>
        <v>0</v>
      </c>
      <c r="D150" s="30">
        <v>0</v>
      </c>
      <c r="E150" s="30">
        <v>0</v>
      </c>
    </row>
    <row r="151" spans="1:6" s="4" customFormat="1" x14ac:dyDescent="0.25">
      <c r="A151" s="1">
        <f t="shared" si="6"/>
        <v>22</v>
      </c>
      <c r="B151" s="6">
        <v>43980</v>
      </c>
      <c r="C151" s="17">
        <f t="shared" si="5"/>
        <v>0</v>
      </c>
      <c r="D151" s="30">
        <v>0</v>
      </c>
      <c r="E151" s="30">
        <v>0</v>
      </c>
    </row>
    <row r="152" spans="1:6" s="4" customFormat="1" x14ac:dyDescent="0.25">
      <c r="A152" s="1"/>
      <c r="B152" s="6">
        <v>43981</v>
      </c>
      <c r="C152" s="17">
        <f t="shared" si="5"/>
        <v>18.5</v>
      </c>
      <c r="D152" s="30">
        <v>6.5</v>
      </c>
      <c r="E152" s="30">
        <v>30.5</v>
      </c>
    </row>
    <row r="153" spans="1:6" s="4" customFormat="1" x14ac:dyDescent="0.25">
      <c r="A153" s="1">
        <f t="shared" si="6"/>
        <v>22</v>
      </c>
      <c r="B153" s="6">
        <v>43982</v>
      </c>
      <c r="C153" s="17">
        <f t="shared" si="5"/>
        <v>0</v>
      </c>
      <c r="D153" s="30">
        <v>0</v>
      </c>
      <c r="E153" s="30">
        <v>0</v>
      </c>
      <c r="F153" s="21">
        <f>SUM(C123:C153)</f>
        <v>119.9</v>
      </c>
    </row>
    <row r="154" spans="1:6" s="4" customFormat="1" x14ac:dyDescent="0.25">
      <c r="A154" s="1">
        <f t="shared" si="6"/>
        <v>23</v>
      </c>
      <c r="B154" s="6">
        <v>43983</v>
      </c>
      <c r="C154" s="17">
        <f t="shared" si="5"/>
        <v>20.75</v>
      </c>
      <c r="D154" s="30">
        <v>15.5</v>
      </c>
      <c r="E154" s="30">
        <v>26</v>
      </c>
    </row>
    <row r="155" spans="1:6" s="4" customFormat="1" x14ac:dyDescent="0.25">
      <c r="A155" s="1">
        <f t="shared" si="6"/>
        <v>23</v>
      </c>
      <c r="B155" s="6">
        <v>43984</v>
      </c>
      <c r="C155" s="17">
        <f t="shared" si="5"/>
        <v>3</v>
      </c>
      <c r="D155" s="30">
        <v>3.5</v>
      </c>
      <c r="E155" s="30">
        <v>2.5</v>
      </c>
    </row>
    <row r="156" spans="1:6" s="4" customFormat="1" x14ac:dyDescent="0.25">
      <c r="A156" s="1">
        <f t="shared" si="6"/>
        <v>23</v>
      </c>
      <c r="B156" s="6">
        <v>43985</v>
      </c>
      <c r="C156" s="17">
        <f t="shared" si="5"/>
        <v>0</v>
      </c>
      <c r="D156" s="30">
        <v>0</v>
      </c>
      <c r="E156" s="30">
        <v>0</v>
      </c>
    </row>
    <row r="157" spans="1:6" s="4" customFormat="1" x14ac:dyDescent="0.25">
      <c r="A157" s="1">
        <f t="shared" si="6"/>
        <v>23</v>
      </c>
      <c r="B157" s="6">
        <v>43986</v>
      </c>
      <c r="C157" s="17">
        <f t="shared" si="5"/>
        <v>0</v>
      </c>
      <c r="D157" s="30">
        <v>0</v>
      </c>
      <c r="E157" s="30">
        <v>0</v>
      </c>
    </row>
    <row r="158" spans="1:6" s="4" customFormat="1" x14ac:dyDescent="0.25">
      <c r="A158" s="1">
        <f t="shared" si="6"/>
        <v>23</v>
      </c>
      <c r="B158" s="6">
        <v>43987</v>
      </c>
      <c r="C158" s="17">
        <f t="shared" si="5"/>
        <v>23</v>
      </c>
      <c r="D158" s="30">
        <v>26</v>
      </c>
      <c r="E158" s="30">
        <v>20</v>
      </c>
    </row>
    <row r="159" spans="1:6" s="4" customFormat="1" x14ac:dyDescent="0.25">
      <c r="A159" s="1">
        <f t="shared" si="6"/>
        <v>23</v>
      </c>
      <c r="B159" s="6">
        <v>43988</v>
      </c>
      <c r="C159" s="17">
        <f t="shared" si="5"/>
        <v>0</v>
      </c>
      <c r="D159" s="30">
        <v>0</v>
      </c>
      <c r="E159" s="30">
        <v>0</v>
      </c>
    </row>
    <row r="160" spans="1:6" s="4" customFormat="1" x14ac:dyDescent="0.25">
      <c r="A160" s="1">
        <f t="shared" si="6"/>
        <v>23</v>
      </c>
      <c r="B160" s="6">
        <v>43989</v>
      </c>
      <c r="C160" s="17">
        <f t="shared" si="5"/>
        <v>0</v>
      </c>
      <c r="D160" s="30">
        <v>0</v>
      </c>
      <c r="E160" s="30">
        <v>0</v>
      </c>
    </row>
    <row r="161" spans="1:8" s="4" customFormat="1" x14ac:dyDescent="0.25">
      <c r="A161" s="1">
        <f t="shared" si="6"/>
        <v>24</v>
      </c>
      <c r="B161" s="6">
        <v>43990</v>
      </c>
      <c r="C161" s="17">
        <f t="shared" si="5"/>
        <v>0</v>
      </c>
      <c r="D161" s="30">
        <v>0</v>
      </c>
      <c r="E161" s="30">
        <v>0</v>
      </c>
    </row>
    <row r="162" spans="1:8" s="4" customFormat="1" x14ac:dyDescent="0.25">
      <c r="A162" s="1">
        <f t="shared" si="6"/>
        <v>24</v>
      </c>
      <c r="B162" s="6">
        <v>43991</v>
      </c>
      <c r="C162" s="17">
        <f t="shared" si="5"/>
        <v>0</v>
      </c>
      <c r="D162" s="30">
        <v>0</v>
      </c>
      <c r="E162" s="30">
        <v>0</v>
      </c>
    </row>
    <row r="163" spans="1:8" s="4" customFormat="1" x14ac:dyDescent="0.25">
      <c r="A163" s="1">
        <f t="shared" si="6"/>
        <v>24</v>
      </c>
      <c r="B163" s="6">
        <v>43992</v>
      </c>
      <c r="C163" s="17">
        <f t="shared" si="5"/>
        <v>0</v>
      </c>
      <c r="D163" s="30">
        <v>0</v>
      </c>
      <c r="E163" s="30">
        <v>0</v>
      </c>
    </row>
    <row r="164" spans="1:8" s="4" customFormat="1" x14ac:dyDescent="0.25">
      <c r="A164" s="1">
        <f t="shared" si="6"/>
        <v>24</v>
      </c>
      <c r="B164" s="6">
        <v>43993</v>
      </c>
      <c r="C164" s="17">
        <f t="shared" si="5"/>
        <v>0</v>
      </c>
      <c r="D164" s="30">
        <v>0</v>
      </c>
      <c r="E164" s="30">
        <v>0</v>
      </c>
    </row>
    <row r="165" spans="1:8" s="4" customFormat="1" x14ac:dyDescent="0.25">
      <c r="A165" s="1"/>
      <c r="B165" s="6">
        <v>43994</v>
      </c>
      <c r="C165" s="17">
        <f t="shared" si="5"/>
        <v>1.5</v>
      </c>
      <c r="D165" s="30">
        <v>1.5</v>
      </c>
      <c r="E165" s="30">
        <v>1.5</v>
      </c>
    </row>
    <row r="166" spans="1:8" s="4" customFormat="1" x14ac:dyDescent="0.25">
      <c r="A166" s="1">
        <f t="shared" si="6"/>
        <v>24</v>
      </c>
      <c r="B166" s="6">
        <v>43995</v>
      </c>
      <c r="C166" s="17">
        <f t="shared" si="5"/>
        <v>0</v>
      </c>
      <c r="D166" s="30">
        <v>0</v>
      </c>
      <c r="E166" s="30">
        <v>0</v>
      </c>
    </row>
    <row r="167" spans="1:8" s="4" customFormat="1" x14ac:dyDescent="0.25">
      <c r="A167" s="1">
        <f t="shared" si="6"/>
        <v>24</v>
      </c>
      <c r="B167" s="6">
        <v>43996</v>
      </c>
      <c r="C167" s="17">
        <f t="shared" si="5"/>
        <v>4.5</v>
      </c>
      <c r="D167" s="30">
        <v>5</v>
      </c>
      <c r="E167" s="30">
        <v>4</v>
      </c>
    </row>
    <row r="168" spans="1:8" s="4" customFormat="1" x14ac:dyDescent="0.25">
      <c r="A168" s="1">
        <f t="shared" si="6"/>
        <v>25</v>
      </c>
      <c r="B168" s="6">
        <v>43997</v>
      </c>
      <c r="C168" s="17">
        <f t="shared" si="5"/>
        <v>0</v>
      </c>
      <c r="D168" s="30">
        <v>0</v>
      </c>
      <c r="E168" s="30">
        <v>0</v>
      </c>
    </row>
    <row r="169" spans="1:8" s="4" customFormat="1" x14ac:dyDescent="0.25">
      <c r="A169" s="1">
        <f t="shared" si="6"/>
        <v>25</v>
      </c>
      <c r="B169" s="6">
        <v>43998</v>
      </c>
      <c r="C169" s="17">
        <f t="shared" si="5"/>
        <v>0</v>
      </c>
      <c r="D169" s="30">
        <v>0</v>
      </c>
      <c r="E169" s="30">
        <v>0</v>
      </c>
      <c r="H169" s="21"/>
    </row>
    <row r="170" spans="1:8" s="4" customFormat="1" x14ac:dyDescent="0.25">
      <c r="A170" s="1">
        <f t="shared" si="6"/>
        <v>25</v>
      </c>
      <c r="B170" s="6">
        <v>43999</v>
      </c>
      <c r="C170" s="17">
        <f t="shared" si="5"/>
        <v>0</v>
      </c>
      <c r="D170" s="30">
        <v>0</v>
      </c>
      <c r="E170" s="30">
        <v>0</v>
      </c>
    </row>
    <row r="171" spans="1:8" s="4" customFormat="1" x14ac:dyDescent="0.25">
      <c r="A171" s="1">
        <f t="shared" si="6"/>
        <v>25</v>
      </c>
      <c r="B171" s="6">
        <v>44000</v>
      </c>
      <c r="C171" s="17">
        <f t="shared" si="5"/>
        <v>0.625</v>
      </c>
      <c r="D171" s="30">
        <v>1.25</v>
      </c>
      <c r="E171" s="30">
        <v>0</v>
      </c>
    </row>
    <row r="172" spans="1:8" s="4" customFormat="1" x14ac:dyDescent="0.25">
      <c r="A172" s="1">
        <f t="shared" si="6"/>
        <v>25</v>
      </c>
      <c r="B172" s="6">
        <v>44001</v>
      </c>
      <c r="C172" s="17">
        <f t="shared" si="5"/>
        <v>12</v>
      </c>
      <c r="D172" s="30">
        <v>22.5</v>
      </c>
      <c r="E172" s="30">
        <v>1.5</v>
      </c>
    </row>
    <row r="173" spans="1:8" s="4" customFormat="1" x14ac:dyDescent="0.25">
      <c r="A173" s="1">
        <f t="shared" si="6"/>
        <v>25</v>
      </c>
      <c r="B173" s="6">
        <v>44002</v>
      </c>
      <c r="C173" s="17">
        <f t="shared" si="5"/>
        <v>7.75</v>
      </c>
      <c r="D173" s="30">
        <v>13</v>
      </c>
      <c r="E173" s="30">
        <v>2.5</v>
      </c>
    </row>
    <row r="174" spans="1:8" s="4" customFormat="1" x14ac:dyDescent="0.25">
      <c r="A174" s="1">
        <f t="shared" si="6"/>
        <v>25</v>
      </c>
      <c r="B174" s="6">
        <v>44003</v>
      </c>
      <c r="C174" s="17">
        <f t="shared" si="5"/>
        <v>0</v>
      </c>
      <c r="D174" s="30">
        <v>0</v>
      </c>
      <c r="E174" s="30">
        <v>0</v>
      </c>
    </row>
    <row r="175" spans="1:8" s="4" customFormat="1" x14ac:dyDescent="0.25">
      <c r="A175" s="1">
        <f t="shared" si="6"/>
        <v>26</v>
      </c>
      <c r="B175" s="6">
        <v>44004</v>
      </c>
      <c r="C175" s="17">
        <f t="shared" si="5"/>
        <v>0</v>
      </c>
      <c r="D175" s="30">
        <v>0</v>
      </c>
      <c r="E175" s="30">
        <v>0</v>
      </c>
    </row>
    <row r="176" spans="1:8" s="4" customFormat="1" x14ac:dyDescent="0.25">
      <c r="A176" s="1">
        <f t="shared" si="6"/>
        <v>26</v>
      </c>
      <c r="B176" s="6">
        <v>44005</v>
      </c>
      <c r="C176" s="17">
        <f t="shared" si="5"/>
        <v>0</v>
      </c>
      <c r="D176" s="30">
        <v>0</v>
      </c>
      <c r="E176" s="30">
        <v>0</v>
      </c>
    </row>
    <row r="177" spans="1:6" s="4" customFormat="1" x14ac:dyDescent="0.25">
      <c r="A177" s="1">
        <f t="shared" si="6"/>
        <v>26</v>
      </c>
      <c r="B177" s="6">
        <v>44006</v>
      </c>
      <c r="C177" s="17">
        <f t="shared" si="5"/>
        <v>5.75</v>
      </c>
      <c r="D177" s="30">
        <v>7</v>
      </c>
      <c r="E177" s="30">
        <v>4.5</v>
      </c>
    </row>
    <row r="178" spans="1:6" s="4" customFormat="1" x14ac:dyDescent="0.25">
      <c r="A178" s="1">
        <f t="shared" si="6"/>
        <v>26</v>
      </c>
      <c r="B178" s="6">
        <v>44007</v>
      </c>
      <c r="C178" s="17">
        <f t="shared" si="5"/>
        <v>0</v>
      </c>
      <c r="D178" s="30">
        <v>0</v>
      </c>
      <c r="E178" s="30">
        <v>0</v>
      </c>
    </row>
    <row r="179" spans="1:6" s="4" customFormat="1" x14ac:dyDescent="0.25">
      <c r="A179" s="1">
        <f t="shared" si="6"/>
        <v>26</v>
      </c>
      <c r="B179" s="6">
        <v>44008</v>
      </c>
      <c r="C179" s="17">
        <f t="shared" si="5"/>
        <v>1</v>
      </c>
      <c r="D179" s="30">
        <v>0</v>
      </c>
      <c r="E179" s="30">
        <v>2</v>
      </c>
    </row>
    <row r="180" spans="1:6" s="4" customFormat="1" x14ac:dyDescent="0.25">
      <c r="A180" s="1">
        <f t="shared" si="6"/>
        <v>26</v>
      </c>
      <c r="B180" s="6">
        <v>44009</v>
      </c>
      <c r="C180" s="17">
        <f t="shared" si="5"/>
        <v>0</v>
      </c>
      <c r="D180" s="30">
        <v>0</v>
      </c>
      <c r="E180" s="30">
        <v>0</v>
      </c>
    </row>
    <row r="181" spans="1:6" s="4" customFormat="1" x14ac:dyDescent="0.25">
      <c r="A181" s="1">
        <f t="shared" si="6"/>
        <v>26</v>
      </c>
      <c r="B181" s="6">
        <v>44010</v>
      </c>
      <c r="C181" s="17">
        <f t="shared" si="5"/>
        <v>32.5</v>
      </c>
      <c r="D181" s="30">
        <v>38.5</v>
      </c>
      <c r="E181" s="30">
        <v>26.5</v>
      </c>
    </row>
    <row r="182" spans="1:6" s="4" customFormat="1" x14ac:dyDescent="0.25">
      <c r="A182" s="1">
        <f t="shared" si="6"/>
        <v>27</v>
      </c>
      <c r="B182" s="6">
        <v>44011</v>
      </c>
      <c r="C182" s="17">
        <f t="shared" si="5"/>
        <v>0</v>
      </c>
      <c r="D182" s="30">
        <v>0</v>
      </c>
      <c r="E182" s="30">
        <v>0</v>
      </c>
    </row>
    <row r="183" spans="1:6" s="14" customFormat="1" ht="15.75" thickBot="1" x14ac:dyDescent="0.3">
      <c r="A183" s="13">
        <f t="shared" si="6"/>
        <v>27</v>
      </c>
      <c r="B183" s="6">
        <v>44012</v>
      </c>
      <c r="C183" s="19">
        <f t="shared" si="5"/>
        <v>0</v>
      </c>
      <c r="D183" s="30">
        <v>0</v>
      </c>
      <c r="E183" s="30">
        <v>0</v>
      </c>
      <c r="F183" s="20">
        <f>SUM(C154:C183)</f>
        <v>112.375</v>
      </c>
    </row>
    <row r="184" spans="1:6" s="4" customFormat="1" ht="15.75" thickTop="1" x14ac:dyDescent="0.25">
      <c r="A184" s="1">
        <f t="shared" si="6"/>
        <v>27</v>
      </c>
      <c r="B184" s="6">
        <v>44013</v>
      </c>
      <c r="C184" s="17">
        <f t="shared" si="5"/>
        <v>0</v>
      </c>
      <c r="D184" s="30">
        <v>0</v>
      </c>
      <c r="E184" s="30">
        <v>0</v>
      </c>
    </row>
    <row r="185" spans="1:6" s="4" customFormat="1" x14ac:dyDescent="0.25">
      <c r="A185" s="1">
        <f t="shared" si="6"/>
        <v>27</v>
      </c>
      <c r="B185" s="6">
        <v>44014</v>
      </c>
      <c r="C185" s="17">
        <f t="shared" si="5"/>
        <v>0</v>
      </c>
      <c r="D185" s="30">
        <v>0</v>
      </c>
      <c r="E185" s="30">
        <v>0</v>
      </c>
    </row>
    <row r="186" spans="1:6" s="4" customFormat="1" x14ac:dyDescent="0.25">
      <c r="A186" s="1">
        <f t="shared" si="6"/>
        <v>27</v>
      </c>
      <c r="B186" s="6">
        <v>44015</v>
      </c>
      <c r="C186" s="17">
        <f t="shared" si="5"/>
        <v>11.75</v>
      </c>
      <c r="D186" s="30">
        <v>8</v>
      </c>
      <c r="E186" s="30">
        <v>15.5</v>
      </c>
    </row>
    <row r="187" spans="1:6" s="4" customFormat="1" x14ac:dyDescent="0.25">
      <c r="A187" s="1">
        <f t="shared" si="6"/>
        <v>27</v>
      </c>
      <c r="B187" s="6">
        <v>44016</v>
      </c>
      <c r="C187" s="17">
        <f t="shared" si="5"/>
        <v>3</v>
      </c>
      <c r="D187" s="30">
        <v>1</v>
      </c>
      <c r="E187" s="30">
        <v>5</v>
      </c>
    </row>
    <row r="188" spans="1:6" s="4" customFormat="1" x14ac:dyDescent="0.25">
      <c r="A188" s="1">
        <f t="shared" si="6"/>
        <v>27</v>
      </c>
      <c r="B188" s="6">
        <v>44017</v>
      </c>
      <c r="C188" s="17">
        <f t="shared" si="5"/>
        <v>0</v>
      </c>
      <c r="D188" s="30">
        <v>0</v>
      </c>
      <c r="E188" s="30">
        <v>0</v>
      </c>
    </row>
    <row r="189" spans="1:6" s="4" customFormat="1" x14ac:dyDescent="0.25">
      <c r="A189" s="1">
        <f t="shared" si="6"/>
        <v>28</v>
      </c>
      <c r="B189" s="6">
        <v>44018</v>
      </c>
      <c r="C189" s="17">
        <f t="shared" si="5"/>
        <v>0</v>
      </c>
      <c r="D189" s="30">
        <v>0</v>
      </c>
      <c r="E189" s="30">
        <v>0</v>
      </c>
      <c r="F189" s="21"/>
    </row>
    <row r="190" spans="1:6" s="4" customFormat="1" x14ac:dyDescent="0.25">
      <c r="A190" s="1">
        <f t="shared" si="6"/>
        <v>28</v>
      </c>
      <c r="B190" s="6">
        <v>44019</v>
      </c>
      <c r="C190" s="17">
        <f t="shared" si="5"/>
        <v>0</v>
      </c>
      <c r="D190" s="30">
        <v>0</v>
      </c>
      <c r="E190" s="30">
        <v>0</v>
      </c>
    </row>
    <row r="191" spans="1:6" s="4" customFormat="1" x14ac:dyDescent="0.25">
      <c r="A191" s="1">
        <f t="shared" si="6"/>
        <v>28</v>
      </c>
      <c r="B191" s="6">
        <v>44020</v>
      </c>
      <c r="C191" s="17">
        <f t="shared" si="5"/>
        <v>0</v>
      </c>
      <c r="D191" s="30">
        <v>0</v>
      </c>
      <c r="E191" s="30">
        <v>0</v>
      </c>
    </row>
    <row r="192" spans="1:6" s="4" customFormat="1" x14ac:dyDescent="0.25">
      <c r="A192" s="1">
        <f t="shared" si="6"/>
        <v>28</v>
      </c>
      <c r="B192" s="6">
        <v>44021</v>
      </c>
      <c r="C192" s="17">
        <f t="shared" si="5"/>
        <v>0</v>
      </c>
      <c r="D192" s="30">
        <v>0</v>
      </c>
      <c r="E192" s="30">
        <v>0</v>
      </c>
    </row>
    <row r="193" spans="1:5" s="4" customFormat="1" x14ac:dyDescent="0.25">
      <c r="A193" s="1">
        <f t="shared" si="6"/>
        <v>28</v>
      </c>
      <c r="B193" s="6">
        <v>44022</v>
      </c>
      <c r="C193" s="17">
        <f t="shared" si="5"/>
        <v>25</v>
      </c>
      <c r="D193" s="30">
        <v>41.5</v>
      </c>
      <c r="E193" s="30">
        <v>8.5</v>
      </c>
    </row>
    <row r="194" spans="1:5" s="4" customFormat="1" x14ac:dyDescent="0.25">
      <c r="A194" s="1">
        <f t="shared" si="6"/>
        <v>28</v>
      </c>
      <c r="B194" s="6">
        <v>44023</v>
      </c>
      <c r="C194" s="17">
        <f t="shared" ref="C194:C257" si="7">AVERAGE(D194:E194)</f>
        <v>2</v>
      </c>
      <c r="D194" s="30">
        <v>2</v>
      </c>
      <c r="E194" s="30">
        <v>2</v>
      </c>
    </row>
    <row r="195" spans="1:5" s="4" customFormat="1" x14ac:dyDescent="0.25">
      <c r="A195" s="1">
        <f t="shared" ref="A195:A258" si="8">WEEKNUM($B195,2)</f>
        <v>28</v>
      </c>
      <c r="B195" s="6">
        <v>44024</v>
      </c>
      <c r="C195" s="17">
        <f t="shared" si="7"/>
        <v>0</v>
      </c>
      <c r="D195" s="30">
        <v>0</v>
      </c>
      <c r="E195" s="30">
        <v>0</v>
      </c>
    </row>
    <row r="196" spans="1:5" s="4" customFormat="1" x14ac:dyDescent="0.25">
      <c r="A196" s="1">
        <f t="shared" si="8"/>
        <v>29</v>
      </c>
      <c r="B196" s="6">
        <v>44025</v>
      </c>
      <c r="C196" s="17">
        <f t="shared" si="7"/>
        <v>15.75</v>
      </c>
      <c r="D196" s="30">
        <v>15</v>
      </c>
      <c r="E196" s="30">
        <v>16.5</v>
      </c>
    </row>
    <row r="197" spans="1:5" s="4" customFormat="1" x14ac:dyDescent="0.25">
      <c r="A197" s="1">
        <f t="shared" si="8"/>
        <v>29</v>
      </c>
      <c r="B197" s="6">
        <v>44026</v>
      </c>
      <c r="C197" s="17">
        <f t="shared" si="7"/>
        <v>0</v>
      </c>
      <c r="D197" s="30">
        <v>0</v>
      </c>
      <c r="E197" s="30">
        <v>0</v>
      </c>
    </row>
    <row r="198" spans="1:5" s="4" customFormat="1" x14ac:dyDescent="0.25">
      <c r="A198" s="1">
        <f t="shared" si="8"/>
        <v>29</v>
      </c>
      <c r="B198" s="6">
        <v>44027</v>
      </c>
      <c r="C198" s="17">
        <f t="shared" si="7"/>
        <v>7.25</v>
      </c>
      <c r="D198" s="30">
        <v>13</v>
      </c>
      <c r="E198" s="30">
        <v>1.5</v>
      </c>
    </row>
    <row r="199" spans="1:5" s="4" customFormat="1" x14ac:dyDescent="0.25">
      <c r="A199" s="1">
        <f t="shared" si="8"/>
        <v>29</v>
      </c>
      <c r="B199" s="6">
        <v>44028</v>
      </c>
      <c r="C199" s="17">
        <f t="shared" si="7"/>
        <v>11.875</v>
      </c>
      <c r="D199" s="30">
        <v>1.25</v>
      </c>
      <c r="E199" s="30">
        <v>22.5</v>
      </c>
    </row>
    <row r="200" spans="1:5" s="4" customFormat="1" x14ac:dyDescent="0.25">
      <c r="A200" s="1">
        <f t="shared" si="8"/>
        <v>29</v>
      </c>
      <c r="B200" s="6">
        <v>44029</v>
      </c>
      <c r="C200" s="17">
        <f t="shared" si="7"/>
        <v>0</v>
      </c>
      <c r="D200" s="30">
        <v>0</v>
      </c>
      <c r="E200" s="30">
        <v>0</v>
      </c>
    </row>
    <row r="201" spans="1:5" s="4" customFormat="1" x14ac:dyDescent="0.25">
      <c r="A201" s="1">
        <f t="shared" si="8"/>
        <v>29</v>
      </c>
      <c r="B201" s="6">
        <v>44030</v>
      </c>
      <c r="C201" s="17">
        <f t="shared" si="7"/>
        <v>1.75</v>
      </c>
      <c r="D201" s="30">
        <v>1.5</v>
      </c>
      <c r="E201" s="30">
        <v>2</v>
      </c>
    </row>
    <row r="202" spans="1:5" s="4" customFormat="1" x14ac:dyDescent="0.25">
      <c r="A202" s="1">
        <f t="shared" si="8"/>
        <v>29</v>
      </c>
      <c r="B202" s="6">
        <v>44031</v>
      </c>
      <c r="C202" s="17">
        <f t="shared" si="7"/>
        <v>19.75</v>
      </c>
      <c r="D202" s="30">
        <v>25</v>
      </c>
      <c r="E202" s="30">
        <v>14.5</v>
      </c>
    </row>
    <row r="203" spans="1:5" s="4" customFormat="1" x14ac:dyDescent="0.25">
      <c r="A203" s="1">
        <f t="shared" si="8"/>
        <v>30</v>
      </c>
      <c r="B203" s="6">
        <v>44032</v>
      </c>
      <c r="C203" s="17">
        <f t="shared" si="7"/>
        <v>7</v>
      </c>
      <c r="D203" s="30">
        <v>7.5</v>
      </c>
      <c r="E203" s="30">
        <v>6.5</v>
      </c>
    </row>
    <row r="204" spans="1:5" s="4" customFormat="1" x14ac:dyDescent="0.25">
      <c r="A204" s="1">
        <f t="shared" si="8"/>
        <v>30</v>
      </c>
      <c r="B204" s="6">
        <v>44033</v>
      </c>
      <c r="C204" s="17">
        <f t="shared" si="7"/>
        <v>0</v>
      </c>
      <c r="D204" s="30">
        <v>0</v>
      </c>
      <c r="E204" s="30">
        <v>0</v>
      </c>
    </row>
    <row r="205" spans="1:5" s="4" customFormat="1" x14ac:dyDescent="0.25">
      <c r="A205" s="1">
        <f t="shared" si="8"/>
        <v>30</v>
      </c>
      <c r="B205" s="6">
        <v>44034</v>
      </c>
      <c r="C205" s="17">
        <f t="shared" si="7"/>
        <v>0</v>
      </c>
      <c r="D205" s="30">
        <v>0</v>
      </c>
      <c r="E205" s="30">
        <v>0</v>
      </c>
    </row>
    <row r="206" spans="1:5" s="4" customFormat="1" x14ac:dyDescent="0.25">
      <c r="A206" s="1">
        <f t="shared" si="8"/>
        <v>30</v>
      </c>
      <c r="B206" s="6">
        <v>44035</v>
      </c>
      <c r="C206" s="17">
        <f t="shared" si="7"/>
        <v>56.5</v>
      </c>
      <c r="D206" s="30">
        <v>53</v>
      </c>
      <c r="E206" s="30">
        <v>60</v>
      </c>
    </row>
    <row r="207" spans="1:5" s="4" customFormat="1" x14ac:dyDescent="0.25">
      <c r="A207" s="1">
        <f t="shared" si="8"/>
        <v>30</v>
      </c>
      <c r="B207" s="6">
        <v>44036</v>
      </c>
      <c r="C207" s="17">
        <f t="shared" si="7"/>
        <v>1.5</v>
      </c>
      <c r="D207" s="30">
        <v>1.5</v>
      </c>
      <c r="E207" s="30">
        <v>1.5</v>
      </c>
    </row>
    <row r="208" spans="1:5" s="4" customFormat="1" x14ac:dyDescent="0.25">
      <c r="A208" s="1">
        <f t="shared" si="8"/>
        <v>30</v>
      </c>
      <c r="B208" s="6">
        <v>44037</v>
      </c>
      <c r="C208" s="17">
        <f t="shared" si="7"/>
        <v>0</v>
      </c>
      <c r="D208" s="30">
        <v>0</v>
      </c>
      <c r="E208" s="30">
        <v>0</v>
      </c>
    </row>
    <row r="209" spans="1:6" s="4" customFormat="1" x14ac:dyDescent="0.25">
      <c r="A209" s="1">
        <f t="shared" si="8"/>
        <v>30</v>
      </c>
      <c r="B209" s="6">
        <v>44038</v>
      </c>
      <c r="C209" s="17">
        <f t="shared" si="7"/>
        <v>2.25</v>
      </c>
      <c r="D209" s="30">
        <v>3</v>
      </c>
      <c r="E209" s="30">
        <v>1.5</v>
      </c>
    </row>
    <row r="210" spans="1:6" s="4" customFormat="1" x14ac:dyDescent="0.25">
      <c r="A210" s="1">
        <f t="shared" si="8"/>
        <v>31</v>
      </c>
      <c r="B210" s="6">
        <v>44039</v>
      </c>
      <c r="C210" s="17">
        <f t="shared" si="7"/>
        <v>14</v>
      </c>
      <c r="D210" s="30">
        <v>17</v>
      </c>
      <c r="E210" s="30">
        <v>11</v>
      </c>
    </row>
    <row r="211" spans="1:6" s="4" customFormat="1" x14ac:dyDescent="0.25">
      <c r="A211" s="1">
        <f t="shared" si="8"/>
        <v>31</v>
      </c>
      <c r="B211" s="6">
        <v>44040</v>
      </c>
      <c r="C211" s="17">
        <f t="shared" si="7"/>
        <v>68.75</v>
      </c>
      <c r="D211" s="30">
        <v>80</v>
      </c>
      <c r="E211" s="30">
        <v>57.5</v>
      </c>
    </row>
    <row r="212" spans="1:6" s="4" customFormat="1" x14ac:dyDescent="0.25">
      <c r="A212" s="1">
        <f t="shared" si="8"/>
        <v>31</v>
      </c>
      <c r="B212" s="6">
        <v>44041</v>
      </c>
      <c r="C212" s="17">
        <f t="shared" si="7"/>
        <v>0</v>
      </c>
      <c r="D212" s="30">
        <v>0</v>
      </c>
      <c r="E212" s="30">
        <v>0</v>
      </c>
    </row>
    <row r="213" spans="1:6" s="4" customFormat="1" x14ac:dyDescent="0.25">
      <c r="A213" s="18"/>
      <c r="B213" s="6">
        <v>44042</v>
      </c>
      <c r="C213" s="17">
        <f t="shared" si="7"/>
        <v>0</v>
      </c>
      <c r="D213" s="30">
        <v>0</v>
      </c>
      <c r="E213" s="30">
        <v>0</v>
      </c>
    </row>
    <row r="214" spans="1:6" s="25" customFormat="1" ht="15.75" thickBot="1" x14ac:dyDescent="0.3">
      <c r="A214" s="22">
        <f t="shared" si="8"/>
        <v>31</v>
      </c>
      <c r="B214" s="6">
        <v>44043</v>
      </c>
      <c r="C214" s="23">
        <f t="shared" si="7"/>
        <v>10</v>
      </c>
      <c r="D214" s="30">
        <v>13</v>
      </c>
      <c r="E214" s="30">
        <v>7</v>
      </c>
      <c r="F214" s="24">
        <f>SUM(C184:C214)</f>
        <v>258.125</v>
      </c>
    </row>
    <row r="215" spans="1:6" s="4" customFormat="1" x14ac:dyDescent="0.25">
      <c r="A215" s="1">
        <f t="shared" si="8"/>
        <v>31</v>
      </c>
      <c r="B215" s="6">
        <v>44044</v>
      </c>
      <c r="C215" s="17">
        <f t="shared" si="7"/>
        <v>0</v>
      </c>
      <c r="D215" s="30">
        <v>0</v>
      </c>
      <c r="E215" s="30">
        <v>0</v>
      </c>
    </row>
    <row r="216" spans="1:6" s="4" customFormat="1" x14ac:dyDescent="0.25">
      <c r="A216" s="1">
        <f t="shared" si="8"/>
        <v>31</v>
      </c>
      <c r="B216" s="6">
        <v>44045</v>
      </c>
      <c r="C216" s="17">
        <f t="shared" si="7"/>
        <v>0</v>
      </c>
      <c r="D216" s="30">
        <v>0</v>
      </c>
      <c r="E216" s="30">
        <v>0</v>
      </c>
    </row>
    <row r="217" spans="1:6" s="4" customFormat="1" x14ac:dyDescent="0.25">
      <c r="A217" s="1">
        <f t="shared" si="8"/>
        <v>32</v>
      </c>
      <c r="B217" s="6">
        <v>44046</v>
      </c>
      <c r="C217" s="17">
        <f t="shared" si="7"/>
        <v>0</v>
      </c>
      <c r="D217" s="30">
        <v>0</v>
      </c>
      <c r="E217" s="30">
        <v>0</v>
      </c>
    </row>
    <row r="218" spans="1:6" s="4" customFormat="1" x14ac:dyDescent="0.25">
      <c r="A218" s="1">
        <f t="shared" si="8"/>
        <v>32</v>
      </c>
      <c r="B218" s="6">
        <v>44047</v>
      </c>
      <c r="C218" s="17">
        <f t="shared" si="7"/>
        <v>0</v>
      </c>
      <c r="D218" s="30">
        <v>0</v>
      </c>
      <c r="E218" s="30">
        <v>0</v>
      </c>
    </row>
    <row r="219" spans="1:6" s="4" customFormat="1" x14ac:dyDescent="0.25">
      <c r="A219" s="1">
        <f t="shared" si="8"/>
        <v>32</v>
      </c>
      <c r="B219" s="6">
        <v>44048</v>
      </c>
      <c r="C219" s="17">
        <f t="shared" si="7"/>
        <v>3.25</v>
      </c>
      <c r="D219" s="30">
        <v>5</v>
      </c>
      <c r="E219" s="30">
        <v>1.5</v>
      </c>
    </row>
    <row r="220" spans="1:6" s="4" customFormat="1" x14ac:dyDescent="0.25">
      <c r="A220" s="1">
        <f t="shared" si="8"/>
        <v>32</v>
      </c>
      <c r="B220" s="6">
        <v>44049</v>
      </c>
      <c r="C220" s="17">
        <f t="shared" si="7"/>
        <v>0</v>
      </c>
      <c r="D220" s="30">
        <v>0</v>
      </c>
      <c r="E220" s="30">
        <v>0</v>
      </c>
    </row>
    <row r="221" spans="1:6" s="4" customFormat="1" x14ac:dyDescent="0.25">
      <c r="A221" s="1">
        <f t="shared" si="8"/>
        <v>32</v>
      </c>
      <c r="B221" s="6">
        <v>44050</v>
      </c>
      <c r="C221" s="17">
        <f t="shared" si="7"/>
        <v>10</v>
      </c>
      <c r="D221" s="30">
        <v>9.5</v>
      </c>
      <c r="E221" s="30">
        <v>10.5</v>
      </c>
    </row>
    <row r="222" spans="1:6" s="4" customFormat="1" x14ac:dyDescent="0.25">
      <c r="A222" s="1">
        <f t="shared" si="8"/>
        <v>32</v>
      </c>
      <c r="B222" s="6">
        <v>44051</v>
      </c>
      <c r="C222" s="17">
        <f t="shared" si="7"/>
        <v>0</v>
      </c>
      <c r="D222" s="30">
        <v>0</v>
      </c>
      <c r="E222" s="30">
        <v>0</v>
      </c>
    </row>
    <row r="223" spans="1:6" s="4" customFormat="1" x14ac:dyDescent="0.25">
      <c r="A223" s="1">
        <f t="shared" si="8"/>
        <v>32</v>
      </c>
      <c r="B223" s="6">
        <v>44052</v>
      </c>
      <c r="C223" s="17">
        <f t="shared" si="7"/>
        <v>0.75</v>
      </c>
      <c r="D223" s="30">
        <v>0</v>
      </c>
      <c r="E223" s="30">
        <v>1.5</v>
      </c>
    </row>
    <row r="224" spans="1:6" s="4" customFormat="1" x14ac:dyDescent="0.25">
      <c r="A224" s="1">
        <f t="shared" si="8"/>
        <v>33</v>
      </c>
      <c r="B224" s="6">
        <v>44053</v>
      </c>
      <c r="C224" s="17">
        <f t="shared" si="7"/>
        <v>84.5</v>
      </c>
      <c r="D224" s="30">
        <v>72</v>
      </c>
      <c r="E224" s="30">
        <v>97</v>
      </c>
      <c r="F224" s="21"/>
    </row>
    <row r="225" spans="1:5" s="4" customFormat="1" x14ac:dyDescent="0.25">
      <c r="A225" s="1">
        <f t="shared" si="8"/>
        <v>33</v>
      </c>
      <c r="B225" s="6">
        <v>44054</v>
      </c>
      <c r="C225" s="17">
        <f t="shared" si="7"/>
        <v>5.75</v>
      </c>
      <c r="D225" s="30">
        <v>6</v>
      </c>
      <c r="E225" s="30">
        <v>5.5</v>
      </c>
    </row>
    <row r="226" spans="1:5" s="4" customFormat="1" x14ac:dyDescent="0.25">
      <c r="A226" s="1">
        <f t="shared" si="8"/>
        <v>33</v>
      </c>
      <c r="B226" s="6">
        <v>44055</v>
      </c>
      <c r="C226" s="17">
        <f t="shared" si="7"/>
        <v>0</v>
      </c>
      <c r="D226" s="30">
        <v>0</v>
      </c>
      <c r="E226" s="30">
        <v>0</v>
      </c>
    </row>
    <row r="227" spans="1:5" s="4" customFormat="1" x14ac:dyDescent="0.25">
      <c r="A227" s="1">
        <f t="shared" si="8"/>
        <v>33</v>
      </c>
      <c r="B227" s="6">
        <v>44056</v>
      </c>
      <c r="C227" s="17">
        <f t="shared" si="7"/>
        <v>0</v>
      </c>
      <c r="D227" s="30">
        <v>0</v>
      </c>
      <c r="E227" s="30">
        <v>0</v>
      </c>
    </row>
    <row r="228" spans="1:5" s="4" customFormat="1" x14ac:dyDescent="0.25">
      <c r="A228" s="1">
        <f t="shared" si="8"/>
        <v>33</v>
      </c>
      <c r="B228" s="6">
        <v>44057</v>
      </c>
      <c r="C228" s="17">
        <f t="shared" si="7"/>
        <v>5.75</v>
      </c>
      <c r="D228" s="30">
        <v>10</v>
      </c>
      <c r="E228" s="30">
        <v>1.5</v>
      </c>
    </row>
    <row r="229" spans="1:5" s="4" customFormat="1" x14ac:dyDescent="0.25">
      <c r="A229" s="1">
        <f t="shared" si="8"/>
        <v>33</v>
      </c>
      <c r="B229" s="6">
        <v>44058</v>
      </c>
      <c r="C229" s="17">
        <f t="shared" si="7"/>
        <v>70.5</v>
      </c>
      <c r="D229" s="30">
        <v>66</v>
      </c>
      <c r="E229" s="30">
        <v>75</v>
      </c>
    </row>
    <row r="230" spans="1:5" s="4" customFormat="1" x14ac:dyDescent="0.25">
      <c r="A230" s="1">
        <f t="shared" si="8"/>
        <v>33</v>
      </c>
      <c r="B230" s="6">
        <v>44059</v>
      </c>
      <c r="C230" s="17">
        <f t="shared" si="7"/>
        <v>4.25</v>
      </c>
      <c r="D230" s="30">
        <v>4.5</v>
      </c>
      <c r="E230" s="30">
        <v>4</v>
      </c>
    </row>
    <row r="231" spans="1:5" s="4" customFormat="1" x14ac:dyDescent="0.25">
      <c r="A231" s="1">
        <f t="shared" si="8"/>
        <v>34</v>
      </c>
      <c r="B231" s="6">
        <v>44060</v>
      </c>
      <c r="C231" s="17">
        <f t="shared" si="7"/>
        <v>0</v>
      </c>
      <c r="D231" s="30">
        <v>0</v>
      </c>
      <c r="E231" s="30">
        <v>0</v>
      </c>
    </row>
    <row r="232" spans="1:5" s="4" customFormat="1" x14ac:dyDescent="0.25">
      <c r="A232" s="1">
        <f t="shared" si="8"/>
        <v>34</v>
      </c>
      <c r="B232" s="6">
        <v>44061</v>
      </c>
      <c r="C232" s="17">
        <f t="shared" si="7"/>
        <v>6.6</v>
      </c>
      <c r="D232" s="30">
        <v>10.199999999999999</v>
      </c>
      <c r="E232" s="30">
        <v>3</v>
      </c>
    </row>
    <row r="233" spans="1:5" s="4" customFormat="1" x14ac:dyDescent="0.25">
      <c r="A233" s="1">
        <f t="shared" si="8"/>
        <v>34</v>
      </c>
      <c r="B233" s="6">
        <v>44062</v>
      </c>
      <c r="C233" s="17">
        <f t="shared" si="7"/>
        <v>0</v>
      </c>
      <c r="D233" s="30">
        <v>0</v>
      </c>
      <c r="E233" s="30">
        <v>0</v>
      </c>
    </row>
    <row r="234" spans="1:5" s="4" customFormat="1" x14ac:dyDescent="0.25">
      <c r="A234" s="1">
        <f t="shared" si="8"/>
        <v>34</v>
      </c>
      <c r="B234" s="6">
        <v>44063</v>
      </c>
      <c r="C234" s="17">
        <f t="shared" si="7"/>
        <v>0</v>
      </c>
      <c r="D234" s="30">
        <v>0</v>
      </c>
      <c r="E234" s="30">
        <v>0</v>
      </c>
    </row>
    <row r="235" spans="1:5" s="4" customFormat="1" x14ac:dyDescent="0.25">
      <c r="A235" s="1">
        <f t="shared" si="8"/>
        <v>34</v>
      </c>
      <c r="B235" s="6">
        <v>44064</v>
      </c>
      <c r="C235" s="17">
        <f t="shared" si="7"/>
        <v>69</v>
      </c>
      <c r="D235" s="30">
        <v>52</v>
      </c>
      <c r="E235" s="30">
        <v>86</v>
      </c>
    </row>
    <row r="236" spans="1:5" s="4" customFormat="1" x14ac:dyDescent="0.25">
      <c r="A236" s="1">
        <f t="shared" si="8"/>
        <v>34</v>
      </c>
      <c r="B236" s="6">
        <v>44065</v>
      </c>
      <c r="C236" s="17">
        <f t="shared" si="7"/>
        <v>0</v>
      </c>
      <c r="D236" s="30">
        <v>0</v>
      </c>
      <c r="E236" s="30">
        <v>0</v>
      </c>
    </row>
    <row r="237" spans="1:5" s="4" customFormat="1" x14ac:dyDescent="0.25">
      <c r="A237" s="1">
        <f t="shared" si="8"/>
        <v>34</v>
      </c>
      <c r="B237" s="6">
        <v>44066</v>
      </c>
      <c r="C237" s="17">
        <f t="shared" si="7"/>
        <v>2</v>
      </c>
      <c r="D237" s="30">
        <v>4</v>
      </c>
      <c r="E237" s="30">
        <v>0</v>
      </c>
    </row>
    <row r="238" spans="1:5" s="4" customFormat="1" x14ac:dyDescent="0.25">
      <c r="A238" s="1">
        <f t="shared" si="8"/>
        <v>35</v>
      </c>
      <c r="B238" s="6">
        <v>44067</v>
      </c>
      <c r="C238" s="17">
        <f t="shared" si="7"/>
        <v>0</v>
      </c>
      <c r="D238" s="30">
        <v>0</v>
      </c>
      <c r="E238" s="30">
        <v>0</v>
      </c>
    </row>
    <row r="239" spans="1:5" s="4" customFormat="1" x14ac:dyDescent="0.25">
      <c r="A239" s="1">
        <f t="shared" si="8"/>
        <v>35</v>
      </c>
      <c r="B239" s="6">
        <v>44068</v>
      </c>
      <c r="C239" s="17">
        <f t="shared" si="7"/>
        <v>7.75</v>
      </c>
      <c r="D239" s="30">
        <v>8</v>
      </c>
      <c r="E239" s="30">
        <v>7.5</v>
      </c>
    </row>
    <row r="240" spans="1:5" s="4" customFormat="1" x14ac:dyDescent="0.25">
      <c r="A240" s="1">
        <f t="shared" si="8"/>
        <v>35</v>
      </c>
      <c r="B240" s="6">
        <v>44069</v>
      </c>
      <c r="C240" s="17">
        <f t="shared" si="7"/>
        <v>9.25</v>
      </c>
      <c r="D240" s="30">
        <v>7.5</v>
      </c>
      <c r="E240" s="30">
        <v>11</v>
      </c>
    </row>
    <row r="241" spans="1:9" s="4" customFormat="1" x14ac:dyDescent="0.25">
      <c r="A241" s="1">
        <f t="shared" si="8"/>
        <v>35</v>
      </c>
      <c r="B241" s="6">
        <v>44070</v>
      </c>
      <c r="C241" s="17">
        <f t="shared" si="7"/>
        <v>84</v>
      </c>
      <c r="D241" s="30">
        <v>90</v>
      </c>
      <c r="E241" s="30">
        <v>78</v>
      </c>
    </row>
    <row r="242" spans="1:9" s="4" customFormat="1" x14ac:dyDescent="0.25">
      <c r="A242" s="1">
        <f t="shared" si="8"/>
        <v>35</v>
      </c>
      <c r="B242" s="6">
        <v>44071</v>
      </c>
      <c r="C242" s="17">
        <f t="shared" si="7"/>
        <v>6.5</v>
      </c>
      <c r="D242" s="30">
        <v>5</v>
      </c>
      <c r="E242" s="30">
        <v>8</v>
      </c>
    </row>
    <row r="243" spans="1:9" s="4" customFormat="1" x14ac:dyDescent="0.25">
      <c r="A243" s="1">
        <f t="shared" si="8"/>
        <v>35</v>
      </c>
      <c r="B243" s="6">
        <v>44072</v>
      </c>
      <c r="C243" s="17">
        <f t="shared" si="7"/>
        <v>4</v>
      </c>
      <c r="D243" s="30">
        <v>3</v>
      </c>
      <c r="E243" s="30">
        <v>5</v>
      </c>
    </row>
    <row r="244" spans="1:9" s="4" customFormat="1" x14ac:dyDescent="0.25">
      <c r="A244" s="18"/>
      <c r="B244" s="6">
        <v>44073</v>
      </c>
      <c r="C244" s="17">
        <f t="shared" si="7"/>
        <v>35.5</v>
      </c>
      <c r="D244" s="30">
        <v>36.5</v>
      </c>
      <c r="E244" s="30">
        <v>34.5</v>
      </c>
    </row>
    <row r="245" spans="1:9" s="25" customFormat="1" ht="15.75" thickBot="1" x14ac:dyDescent="0.3">
      <c r="A245" s="22">
        <f t="shared" si="8"/>
        <v>36</v>
      </c>
      <c r="B245" s="6">
        <v>44074</v>
      </c>
      <c r="C245" s="23">
        <f t="shared" si="7"/>
        <v>3.5</v>
      </c>
      <c r="D245" s="30">
        <v>3.5</v>
      </c>
      <c r="E245" s="30"/>
      <c r="F245" s="24">
        <f>SUM(C215:C245)</f>
        <v>412.85</v>
      </c>
    </row>
    <row r="246" spans="1:9" s="4" customFormat="1" x14ac:dyDescent="0.25">
      <c r="A246" s="1">
        <f t="shared" si="8"/>
        <v>36</v>
      </c>
      <c r="B246" s="6">
        <v>44075</v>
      </c>
      <c r="C246" s="17">
        <f t="shared" si="7"/>
        <v>8.5</v>
      </c>
      <c r="D246" s="30">
        <v>8</v>
      </c>
      <c r="E246" s="30">
        <v>9</v>
      </c>
    </row>
    <row r="247" spans="1:9" s="4" customFormat="1" x14ac:dyDescent="0.25">
      <c r="A247" s="1">
        <f t="shared" si="8"/>
        <v>36</v>
      </c>
      <c r="B247" s="6">
        <v>44076</v>
      </c>
      <c r="C247" s="17">
        <f t="shared" si="7"/>
        <v>16</v>
      </c>
      <c r="D247" s="30">
        <v>10.5</v>
      </c>
      <c r="E247" s="30">
        <v>21.5</v>
      </c>
    </row>
    <row r="248" spans="1:9" s="4" customFormat="1" x14ac:dyDescent="0.25">
      <c r="A248" s="1">
        <f t="shared" si="8"/>
        <v>36</v>
      </c>
      <c r="B248" s="6">
        <v>44077</v>
      </c>
      <c r="C248" s="17">
        <f t="shared" si="7"/>
        <v>5.25</v>
      </c>
      <c r="D248" s="30">
        <v>1</v>
      </c>
      <c r="E248" s="30">
        <v>9.5</v>
      </c>
    </row>
    <row r="249" spans="1:9" s="4" customFormat="1" x14ac:dyDescent="0.25">
      <c r="A249" s="1">
        <f t="shared" si="8"/>
        <v>36</v>
      </c>
      <c r="B249" s="6">
        <v>44078</v>
      </c>
      <c r="C249" s="17">
        <f t="shared" si="7"/>
        <v>0.5</v>
      </c>
      <c r="D249" s="30">
        <v>0</v>
      </c>
      <c r="E249" s="30">
        <v>1</v>
      </c>
    </row>
    <row r="250" spans="1:9" s="4" customFormat="1" x14ac:dyDescent="0.25">
      <c r="A250" s="1">
        <f t="shared" si="8"/>
        <v>36</v>
      </c>
      <c r="B250" s="6">
        <v>44079</v>
      </c>
      <c r="C250" s="17">
        <f t="shared" si="7"/>
        <v>13.75</v>
      </c>
      <c r="D250" s="30">
        <v>16</v>
      </c>
      <c r="E250" s="30">
        <v>11.5</v>
      </c>
    </row>
    <row r="251" spans="1:9" s="4" customFormat="1" x14ac:dyDescent="0.25">
      <c r="A251" s="1">
        <f t="shared" si="8"/>
        <v>36</v>
      </c>
      <c r="B251" s="6">
        <v>44080</v>
      </c>
      <c r="C251" s="17">
        <f t="shared" si="7"/>
        <v>5.5</v>
      </c>
      <c r="D251" s="30">
        <v>5</v>
      </c>
      <c r="E251" s="30">
        <v>6</v>
      </c>
      <c r="I251" s="21"/>
    </row>
    <row r="252" spans="1:9" s="4" customFormat="1" x14ac:dyDescent="0.25">
      <c r="A252" s="1">
        <f t="shared" si="8"/>
        <v>37</v>
      </c>
      <c r="B252" s="6">
        <v>44081</v>
      </c>
      <c r="C252" s="17">
        <f t="shared" si="7"/>
        <v>0</v>
      </c>
      <c r="D252" s="30">
        <v>0</v>
      </c>
      <c r="E252" s="30">
        <v>0</v>
      </c>
      <c r="F252" s="21"/>
    </row>
    <row r="253" spans="1:9" s="4" customFormat="1" x14ac:dyDescent="0.25">
      <c r="A253" s="1">
        <f t="shared" si="8"/>
        <v>37</v>
      </c>
      <c r="B253" s="6">
        <v>44082</v>
      </c>
      <c r="C253" s="17">
        <f t="shared" si="7"/>
        <v>0</v>
      </c>
      <c r="D253" s="30">
        <v>0</v>
      </c>
      <c r="E253" s="30">
        <v>0</v>
      </c>
    </row>
    <row r="254" spans="1:9" s="4" customFormat="1" x14ac:dyDescent="0.25">
      <c r="A254" s="1">
        <f t="shared" si="8"/>
        <v>37</v>
      </c>
      <c r="B254" s="6">
        <v>44083</v>
      </c>
      <c r="C254" s="17">
        <f t="shared" si="7"/>
        <v>40.75</v>
      </c>
      <c r="D254" s="30">
        <v>47</v>
      </c>
      <c r="E254" s="30">
        <v>34.5</v>
      </c>
    </row>
    <row r="255" spans="1:9" s="4" customFormat="1" x14ac:dyDescent="0.25">
      <c r="A255" s="1">
        <f t="shared" si="8"/>
        <v>37</v>
      </c>
      <c r="B255" s="6">
        <v>44084</v>
      </c>
      <c r="C255" s="17">
        <f t="shared" si="7"/>
        <v>5.5</v>
      </c>
      <c r="D255" s="30">
        <v>4.5</v>
      </c>
      <c r="E255" s="30">
        <v>6.5</v>
      </c>
    </row>
    <row r="256" spans="1:9" s="4" customFormat="1" x14ac:dyDescent="0.25">
      <c r="A256" s="1">
        <f t="shared" si="8"/>
        <v>37</v>
      </c>
      <c r="B256" s="6">
        <v>44085</v>
      </c>
      <c r="C256" s="17">
        <f t="shared" si="7"/>
        <v>6.75</v>
      </c>
      <c r="D256" s="30">
        <v>0</v>
      </c>
      <c r="E256" s="30">
        <v>13.5</v>
      </c>
    </row>
    <row r="257" spans="1:5" s="4" customFormat="1" x14ac:dyDescent="0.25">
      <c r="A257" s="1">
        <f t="shared" si="8"/>
        <v>37</v>
      </c>
      <c r="B257" s="6">
        <v>44086</v>
      </c>
      <c r="C257" s="17">
        <f t="shared" si="7"/>
        <v>8</v>
      </c>
      <c r="D257" s="30">
        <v>7</v>
      </c>
      <c r="E257" s="30">
        <v>9</v>
      </c>
    </row>
    <row r="258" spans="1:5" s="4" customFormat="1" x14ac:dyDescent="0.25">
      <c r="A258" s="1">
        <f t="shared" si="8"/>
        <v>37</v>
      </c>
      <c r="B258" s="6">
        <v>44087</v>
      </c>
      <c r="C258" s="17">
        <f t="shared" ref="C258:C321" si="9">AVERAGE(D258:E258)</f>
        <v>1.25</v>
      </c>
      <c r="D258" s="30">
        <v>2</v>
      </c>
      <c r="E258" s="30">
        <v>0.5</v>
      </c>
    </row>
    <row r="259" spans="1:5" s="4" customFormat="1" x14ac:dyDescent="0.25">
      <c r="A259" s="1">
        <f t="shared" ref="A259:A322" si="10">WEEKNUM($B259,2)</f>
        <v>38</v>
      </c>
      <c r="B259" s="6">
        <v>44088</v>
      </c>
      <c r="C259" s="17">
        <f t="shared" si="9"/>
        <v>0</v>
      </c>
      <c r="D259" s="30">
        <v>0</v>
      </c>
      <c r="E259" s="30">
        <v>0</v>
      </c>
    </row>
    <row r="260" spans="1:5" s="4" customFormat="1" x14ac:dyDescent="0.25">
      <c r="A260" s="1">
        <f t="shared" si="10"/>
        <v>38</v>
      </c>
      <c r="B260" s="6">
        <v>44089</v>
      </c>
      <c r="C260" s="17">
        <f t="shared" si="9"/>
        <v>0.25</v>
      </c>
      <c r="D260" s="30">
        <v>0</v>
      </c>
      <c r="E260" s="30">
        <v>0.5</v>
      </c>
    </row>
    <row r="261" spans="1:5" s="4" customFormat="1" x14ac:dyDescent="0.25">
      <c r="A261" s="1">
        <f t="shared" si="10"/>
        <v>38</v>
      </c>
      <c r="B261" s="6">
        <v>44090</v>
      </c>
      <c r="C261" s="17">
        <f t="shared" si="9"/>
        <v>4.25</v>
      </c>
      <c r="D261" s="30">
        <v>5</v>
      </c>
      <c r="E261" s="30">
        <v>3.5</v>
      </c>
    </row>
    <row r="262" spans="1:5" s="4" customFormat="1" x14ac:dyDescent="0.25">
      <c r="A262" s="1">
        <f t="shared" si="10"/>
        <v>38</v>
      </c>
      <c r="B262" s="6">
        <v>44091</v>
      </c>
      <c r="C262" s="17">
        <f t="shared" si="9"/>
        <v>3.25</v>
      </c>
      <c r="D262" s="30">
        <v>5</v>
      </c>
      <c r="E262" s="30">
        <v>1.5</v>
      </c>
    </row>
    <row r="263" spans="1:5" s="4" customFormat="1" x14ac:dyDescent="0.25">
      <c r="A263" s="1">
        <f t="shared" si="10"/>
        <v>38</v>
      </c>
      <c r="B263" s="6">
        <v>44092</v>
      </c>
      <c r="C263" s="17">
        <f t="shared" si="9"/>
        <v>0</v>
      </c>
      <c r="D263" s="30">
        <v>0</v>
      </c>
      <c r="E263" s="30">
        <v>0</v>
      </c>
    </row>
    <row r="264" spans="1:5" s="4" customFormat="1" x14ac:dyDescent="0.25">
      <c r="A264" s="1">
        <f t="shared" si="10"/>
        <v>38</v>
      </c>
      <c r="B264" s="6">
        <v>44093</v>
      </c>
      <c r="C264" s="17">
        <f t="shared" si="9"/>
        <v>0</v>
      </c>
      <c r="D264" s="30">
        <v>0</v>
      </c>
      <c r="E264" s="30">
        <v>0</v>
      </c>
    </row>
    <row r="265" spans="1:5" s="4" customFormat="1" x14ac:dyDescent="0.25">
      <c r="A265" s="1">
        <f t="shared" si="10"/>
        <v>38</v>
      </c>
      <c r="B265" s="6">
        <v>44094</v>
      </c>
      <c r="C265" s="17">
        <f t="shared" si="9"/>
        <v>24.75</v>
      </c>
      <c r="D265" s="30">
        <v>28.5</v>
      </c>
      <c r="E265" s="30">
        <v>21</v>
      </c>
    </row>
    <row r="266" spans="1:5" s="4" customFormat="1" x14ac:dyDescent="0.25">
      <c r="A266" s="1">
        <f t="shared" si="10"/>
        <v>39</v>
      </c>
      <c r="B266" s="6">
        <v>44095</v>
      </c>
      <c r="C266" s="17">
        <f t="shared" si="9"/>
        <v>0</v>
      </c>
      <c r="D266" s="30">
        <v>0</v>
      </c>
      <c r="E266" s="30">
        <v>0</v>
      </c>
    </row>
    <row r="267" spans="1:5" s="4" customFormat="1" x14ac:dyDescent="0.25">
      <c r="A267" s="1">
        <f t="shared" si="10"/>
        <v>39</v>
      </c>
      <c r="B267" s="6">
        <v>44096</v>
      </c>
      <c r="C267" s="17">
        <f t="shared" si="9"/>
        <v>16</v>
      </c>
      <c r="D267" s="30">
        <v>13.5</v>
      </c>
      <c r="E267" s="30">
        <v>18.5</v>
      </c>
    </row>
    <row r="268" spans="1:5" s="4" customFormat="1" x14ac:dyDescent="0.25">
      <c r="A268" s="1">
        <f t="shared" si="10"/>
        <v>39</v>
      </c>
      <c r="B268" s="6">
        <v>44097</v>
      </c>
      <c r="C268" s="17">
        <f t="shared" si="9"/>
        <v>0</v>
      </c>
      <c r="D268" s="30">
        <v>0</v>
      </c>
      <c r="E268" s="30">
        <v>0</v>
      </c>
    </row>
    <row r="269" spans="1:5" s="4" customFormat="1" x14ac:dyDescent="0.25">
      <c r="A269" s="1">
        <f t="shared" si="10"/>
        <v>39</v>
      </c>
      <c r="B269" s="6">
        <v>44098</v>
      </c>
      <c r="C269" s="17">
        <f t="shared" si="9"/>
        <v>0</v>
      </c>
      <c r="D269" s="30">
        <v>0</v>
      </c>
      <c r="E269" s="30">
        <v>0</v>
      </c>
    </row>
    <row r="270" spans="1:5" s="4" customFormat="1" x14ac:dyDescent="0.25">
      <c r="A270" s="1">
        <f t="shared" si="10"/>
        <v>39</v>
      </c>
      <c r="B270" s="6">
        <v>44099</v>
      </c>
      <c r="C270" s="17">
        <f t="shared" si="9"/>
        <v>18.5</v>
      </c>
      <c r="D270" s="30">
        <v>19</v>
      </c>
      <c r="E270" s="30">
        <v>18</v>
      </c>
    </row>
    <row r="271" spans="1:5" s="4" customFormat="1" x14ac:dyDescent="0.25">
      <c r="A271" s="1">
        <f t="shared" si="10"/>
        <v>39</v>
      </c>
      <c r="B271" s="6">
        <v>44100</v>
      </c>
      <c r="C271" s="17">
        <f t="shared" si="9"/>
        <v>4.95</v>
      </c>
      <c r="D271" s="30">
        <v>4.7</v>
      </c>
      <c r="E271" s="30">
        <v>5.2</v>
      </c>
    </row>
    <row r="272" spans="1:5" s="4" customFormat="1" x14ac:dyDescent="0.25">
      <c r="A272" s="1">
        <f t="shared" si="10"/>
        <v>39</v>
      </c>
      <c r="B272" s="6">
        <v>44101</v>
      </c>
      <c r="C272" s="17">
        <f t="shared" si="9"/>
        <v>0</v>
      </c>
      <c r="D272" s="30">
        <v>0</v>
      </c>
      <c r="E272" s="30">
        <v>0</v>
      </c>
    </row>
    <row r="273" spans="1:7" s="4" customFormat="1" x14ac:dyDescent="0.25">
      <c r="A273" s="1">
        <f t="shared" si="10"/>
        <v>40</v>
      </c>
      <c r="B273" s="6">
        <v>44102</v>
      </c>
      <c r="C273" s="17">
        <f t="shared" si="9"/>
        <v>0</v>
      </c>
      <c r="D273" s="30">
        <v>0</v>
      </c>
      <c r="E273" s="30">
        <v>0</v>
      </c>
    </row>
    <row r="274" spans="1:7" s="4" customFormat="1" x14ac:dyDescent="0.25">
      <c r="A274" s="18"/>
      <c r="B274" s="6">
        <v>44103</v>
      </c>
      <c r="C274" s="17">
        <f t="shared" si="9"/>
        <v>6.4</v>
      </c>
      <c r="D274" s="30">
        <v>5.5</v>
      </c>
      <c r="E274" s="30">
        <v>7.3</v>
      </c>
    </row>
    <row r="275" spans="1:7" s="25" customFormat="1" ht="15.75" thickBot="1" x14ac:dyDescent="0.3">
      <c r="A275" s="22">
        <f t="shared" si="10"/>
        <v>40</v>
      </c>
      <c r="B275" s="6">
        <v>44104</v>
      </c>
      <c r="C275" s="23">
        <f t="shared" si="9"/>
        <v>0</v>
      </c>
      <c r="D275" s="30">
        <v>0</v>
      </c>
      <c r="E275" s="30">
        <v>0</v>
      </c>
      <c r="F275" s="24">
        <f>SUM(C246:C275)</f>
        <v>190.1</v>
      </c>
      <c r="G275" s="31"/>
    </row>
    <row r="276" spans="1:7" s="4" customFormat="1" x14ac:dyDescent="0.25">
      <c r="A276" s="1">
        <f t="shared" si="10"/>
        <v>40</v>
      </c>
      <c r="B276" s="6">
        <v>44105</v>
      </c>
      <c r="C276" s="17">
        <f t="shared" si="9"/>
        <v>3.2</v>
      </c>
      <c r="D276" s="30">
        <v>3.4</v>
      </c>
      <c r="E276" s="30">
        <v>3</v>
      </c>
    </row>
    <row r="277" spans="1:7" s="4" customFormat="1" x14ac:dyDescent="0.25">
      <c r="A277" s="1">
        <f t="shared" si="10"/>
        <v>40</v>
      </c>
      <c r="B277" s="6">
        <v>44106</v>
      </c>
      <c r="C277" s="17">
        <f t="shared" si="9"/>
        <v>5.8</v>
      </c>
      <c r="D277" s="30">
        <v>2.6</v>
      </c>
      <c r="E277" s="30">
        <v>9</v>
      </c>
    </row>
    <row r="278" spans="1:7" s="4" customFormat="1" x14ac:dyDescent="0.25">
      <c r="A278" s="1">
        <f t="shared" si="10"/>
        <v>40</v>
      </c>
      <c r="B278" s="6">
        <v>44107</v>
      </c>
      <c r="C278" s="17">
        <f t="shared" si="9"/>
        <v>0</v>
      </c>
      <c r="D278" s="30">
        <v>0</v>
      </c>
      <c r="E278" s="30">
        <v>0</v>
      </c>
    </row>
    <row r="279" spans="1:7" s="4" customFormat="1" x14ac:dyDescent="0.25">
      <c r="A279" s="1">
        <f t="shared" si="10"/>
        <v>40</v>
      </c>
      <c r="B279" s="6">
        <v>44108</v>
      </c>
      <c r="C279" s="17">
        <f t="shared" si="9"/>
        <v>38.25</v>
      </c>
      <c r="D279" s="30">
        <v>21</v>
      </c>
      <c r="E279" s="30">
        <v>55.5</v>
      </c>
    </row>
    <row r="280" spans="1:7" s="4" customFormat="1" x14ac:dyDescent="0.25">
      <c r="A280" s="1">
        <f t="shared" si="10"/>
        <v>41</v>
      </c>
      <c r="B280" s="6">
        <v>44109</v>
      </c>
      <c r="C280" s="17">
        <f t="shared" si="9"/>
        <v>5.75</v>
      </c>
      <c r="D280" s="30">
        <v>6.5</v>
      </c>
      <c r="E280" s="30">
        <v>5</v>
      </c>
    </row>
    <row r="281" spans="1:7" s="4" customFormat="1" x14ac:dyDescent="0.25">
      <c r="A281" s="1">
        <f t="shared" si="10"/>
        <v>41</v>
      </c>
      <c r="B281" s="6">
        <v>44110</v>
      </c>
      <c r="C281" s="17">
        <f t="shared" si="9"/>
        <v>12.25</v>
      </c>
      <c r="D281" s="30">
        <v>9</v>
      </c>
      <c r="E281" s="30">
        <v>15.5</v>
      </c>
    </row>
    <row r="282" spans="1:7" s="4" customFormat="1" x14ac:dyDescent="0.25">
      <c r="A282" s="1">
        <f t="shared" si="10"/>
        <v>41</v>
      </c>
      <c r="B282" s="6">
        <v>44111</v>
      </c>
      <c r="C282" s="17">
        <f t="shared" si="9"/>
        <v>4.25</v>
      </c>
      <c r="D282" s="30">
        <v>4.5</v>
      </c>
      <c r="E282" s="30">
        <v>4</v>
      </c>
    </row>
    <row r="283" spans="1:7" s="4" customFormat="1" x14ac:dyDescent="0.25">
      <c r="A283" s="1">
        <f t="shared" si="10"/>
        <v>41</v>
      </c>
      <c r="B283" s="6">
        <v>44112</v>
      </c>
      <c r="C283" s="17">
        <f t="shared" si="9"/>
        <v>0</v>
      </c>
      <c r="D283" s="30">
        <v>0</v>
      </c>
      <c r="E283" s="30">
        <v>0</v>
      </c>
    </row>
    <row r="284" spans="1:7" s="4" customFormat="1" x14ac:dyDescent="0.25">
      <c r="A284" s="1">
        <f t="shared" si="10"/>
        <v>41</v>
      </c>
      <c r="B284" s="6">
        <v>44113</v>
      </c>
      <c r="C284" s="17">
        <f t="shared" si="9"/>
        <v>5.5</v>
      </c>
      <c r="D284" s="30">
        <v>10</v>
      </c>
      <c r="E284" s="30">
        <v>1</v>
      </c>
    </row>
    <row r="285" spans="1:7" s="4" customFormat="1" x14ac:dyDescent="0.25">
      <c r="A285" s="1">
        <f t="shared" si="10"/>
        <v>41</v>
      </c>
      <c r="B285" s="6">
        <v>44114</v>
      </c>
      <c r="C285" s="17">
        <f t="shared" si="9"/>
        <v>0</v>
      </c>
      <c r="D285" s="30">
        <v>0</v>
      </c>
      <c r="E285" s="30">
        <v>0</v>
      </c>
    </row>
    <row r="286" spans="1:7" s="4" customFormat="1" x14ac:dyDescent="0.25">
      <c r="A286" s="1">
        <f t="shared" si="10"/>
        <v>41</v>
      </c>
      <c r="B286" s="6">
        <v>44115</v>
      </c>
      <c r="C286" s="17">
        <f t="shared" si="9"/>
        <v>0</v>
      </c>
      <c r="D286" s="30">
        <v>0</v>
      </c>
      <c r="E286" s="30">
        <v>0</v>
      </c>
    </row>
    <row r="287" spans="1:7" s="4" customFormat="1" x14ac:dyDescent="0.25">
      <c r="A287" s="1">
        <f t="shared" si="10"/>
        <v>42</v>
      </c>
      <c r="B287" s="6">
        <v>44116</v>
      </c>
      <c r="C287" s="17">
        <f t="shared" si="9"/>
        <v>0</v>
      </c>
      <c r="D287" s="30">
        <v>0</v>
      </c>
      <c r="E287" s="30">
        <v>0</v>
      </c>
    </row>
    <row r="288" spans="1:7" s="4" customFormat="1" x14ac:dyDescent="0.25">
      <c r="A288" s="1">
        <f t="shared" si="10"/>
        <v>42</v>
      </c>
      <c r="B288" s="6">
        <v>44117</v>
      </c>
      <c r="C288" s="17">
        <f t="shared" si="9"/>
        <v>0</v>
      </c>
      <c r="D288" s="30">
        <v>0</v>
      </c>
      <c r="E288" s="30">
        <v>0</v>
      </c>
    </row>
    <row r="289" spans="1:5" s="4" customFormat="1" x14ac:dyDescent="0.25">
      <c r="A289" s="1">
        <f t="shared" si="10"/>
        <v>42</v>
      </c>
      <c r="B289" s="6">
        <v>44118</v>
      </c>
      <c r="C289" s="17">
        <f t="shared" si="9"/>
        <v>11.75</v>
      </c>
      <c r="D289" s="30">
        <v>9.5</v>
      </c>
      <c r="E289" s="30">
        <v>14</v>
      </c>
    </row>
    <row r="290" spans="1:5" s="4" customFormat="1" x14ac:dyDescent="0.25">
      <c r="A290" s="1">
        <f t="shared" si="10"/>
        <v>42</v>
      </c>
      <c r="B290" s="6">
        <v>44119</v>
      </c>
      <c r="C290" s="17">
        <f t="shared" si="9"/>
        <v>0</v>
      </c>
      <c r="D290" s="30">
        <v>0</v>
      </c>
      <c r="E290" s="30">
        <v>0</v>
      </c>
    </row>
    <row r="291" spans="1:5" s="4" customFormat="1" x14ac:dyDescent="0.25">
      <c r="A291" s="1">
        <f t="shared" si="10"/>
        <v>42</v>
      </c>
      <c r="B291" s="6">
        <v>44120</v>
      </c>
      <c r="C291" s="17">
        <f t="shared" si="9"/>
        <v>0</v>
      </c>
      <c r="D291" s="30">
        <v>0</v>
      </c>
      <c r="E291" s="30">
        <v>0</v>
      </c>
    </row>
    <row r="292" spans="1:5" s="4" customFormat="1" x14ac:dyDescent="0.25">
      <c r="A292" s="1">
        <f t="shared" si="10"/>
        <v>42</v>
      </c>
      <c r="B292" s="6">
        <v>44121</v>
      </c>
      <c r="C292" s="17">
        <f t="shared" si="9"/>
        <v>1</v>
      </c>
      <c r="D292" s="30">
        <v>0.5</v>
      </c>
      <c r="E292" s="30">
        <v>1.5</v>
      </c>
    </row>
    <row r="293" spans="1:5" s="4" customFormat="1" x14ac:dyDescent="0.25">
      <c r="A293" s="1">
        <f t="shared" si="10"/>
        <v>42</v>
      </c>
      <c r="B293" s="6">
        <v>44122</v>
      </c>
      <c r="C293" s="17">
        <f t="shared" si="9"/>
        <v>0</v>
      </c>
      <c r="D293" s="30">
        <v>0</v>
      </c>
      <c r="E293" s="30">
        <v>0</v>
      </c>
    </row>
    <row r="294" spans="1:5" s="4" customFormat="1" x14ac:dyDescent="0.25">
      <c r="A294" s="1">
        <f t="shared" si="10"/>
        <v>43</v>
      </c>
      <c r="B294" s="6">
        <v>44123</v>
      </c>
      <c r="C294" s="17">
        <f t="shared" si="9"/>
        <v>0</v>
      </c>
      <c r="D294" s="30">
        <v>0</v>
      </c>
      <c r="E294" s="30">
        <v>0</v>
      </c>
    </row>
    <row r="295" spans="1:5" s="4" customFormat="1" x14ac:dyDescent="0.25">
      <c r="A295" s="1">
        <f t="shared" si="10"/>
        <v>43</v>
      </c>
      <c r="B295" s="6">
        <v>44124</v>
      </c>
      <c r="C295" s="17">
        <f t="shared" si="9"/>
        <v>0</v>
      </c>
      <c r="D295" s="30">
        <v>0</v>
      </c>
      <c r="E295" s="30">
        <v>0</v>
      </c>
    </row>
    <row r="296" spans="1:5" s="4" customFormat="1" x14ac:dyDescent="0.25">
      <c r="A296" s="1">
        <f t="shared" si="10"/>
        <v>43</v>
      </c>
      <c r="B296" s="6">
        <v>44125</v>
      </c>
      <c r="C296" s="17">
        <f t="shared" si="9"/>
        <v>0</v>
      </c>
      <c r="D296" s="30">
        <v>0</v>
      </c>
      <c r="E296" s="30">
        <v>0</v>
      </c>
    </row>
    <row r="297" spans="1:5" s="4" customFormat="1" x14ac:dyDescent="0.25">
      <c r="A297" s="1">
        <f t="shared" si="10"/>
        <v>43</v>
      </c>
      <c r="B297" s="6">
        <v>44126</v>
      </c>
      <c r="C297" s="17">
        <f t="shared" si="9"/>
        <v>0</v>
      </c>
      <c r="D297" s="30">
        <v>0</v>
      </c>
      <c r="E297" s="30">
        <v>0</v>
      </c>
    </row>
    <row r="298" spans="1:5" s="4" customFormat="1" x14ac:dyDescent="0.25">
      <c r="A298" s="1">
        <f t="shared" si="10"/>
        <v>43</v>
      </c>
      <c r="B298" s="6">
        <v>44127</v>
      </c>
      <c r="C298" s="17">
        <f t="shared" si="9"/>
        <v>0</v>
      </c>
      <c r="D298" s="30">
        <v>0</v>
      </c>
      <c r="E298" s="30">
        <v>0</v>
      </c>
    </row>
    <row r="299" spans="1:5" s="4" customFormat="1" x14ac:dyDescent="0.25">
      <c r="A299" s="1">
        <f t="shared" si="10"/>
        <v>43</v>
      </c>
      <c r="B299" s="6">
        <v>44128</v>
      </c>
      <c r="C299" s="17">
        <f t="shared" si="9"/>
        <v>0</v>
      </c>
      <c r="D299" s="30">
        <v>0</v>
      </c>
      <c r="E299" s="30">
        <v>0</v>
      </c>
    </row>
    <row r="300" spans="1:5" s="4" customFormat="1" x14ac:dyDescent="0.25">
      <c r="A300" s="1">
        <f t="shared" si="10"/>
        <v>43</v>
      </c>
      <c r="B300" s="6">
        <v>44129</v>
      </c>
      <c r="C300" s="17">
        <f t="shared" si="9"/>
        <v>0</v>
      </c>
      <c r="D300" s="30">
        <v>0</v>
      </c>
      <c r="E300" s="30">
        <v>0</v>
      </c>
    </row>
    <row r="301" spans="1:5" s="4" customFormat="1" x14ac:dyDescent="0.25">
      <c r="A301" s="1">
        <f t="shared" si="10"/>
        <v>44</v>
      </c>
      <c r="B301" s="6">
        <v>44130</v>
      </c>
      <c r="C301" s="17">
        <f t="shared" si="9"/>
        <v>0</v>
      </c>
      <c r="D301" s="30">
        <v>0</v>
      </c>
      <c r="E301" s="30">
        <v>0</v>
      </c>
    </row>
    <row r="302" spans="1:5" s="4" customFormat="1" x14ac:dyDescent="0.25">
      <c r="A302" s="1">
        <f t="shared" si="10"/>
        <v>44</v>
      </c>
      <c r="B302" s="6">
        <v>44131</v>
      </c>
      <c r="C302" s="17">
        <f t="shared" si="9"/>
        <v>0</v>
      </c>
      <c r="D302" s="30">
        <v>0</v>
      </c>
      <c r="E302" s="30">
        <v>0</v>
      </c>
    </row>
    <row r="303" spans="1:5" s="4" customFormat="1" x14ac:dyDescent="0.25">
      <c r="A303" s="1">
        <f t="shared" si="10"/>
        <v>44</v>
      </c>
      <c r="B303" s="6">
        <v>44132</v>
      </c>
      <c r="C303" s="17">
        <f t="shared" si="9"/>
        <v>0</v>
      </c>
      <c r="D303" s="30">
        <v>0</v>
      </c>
      <c r="E303" s="30">
        <v>0</v>
      </c>
    </row>
    <row r="304" spans="1:5" s="4" customFormat="1" x14ac:dyDescent="0.25">
      <c r="A304" s="1">
        <f t="shared" si="10"/>
        <v>44</v>
      </c>
      <c r="B304" s="6">
        <v>44133</v>
      </c>
      <c r="C304" s="17">
        <f t="shared" si="9"/>
        <v>0</v>
      </c>
      <c r="D304" s="30">
        <v>0</v>
      </c>
      <c r="E304" s="30">
        <v>0</v>
      </c>
    </row>
    <row r="305" spans="1:21" s="25" customFormat="1" ht="15.75" thickBot="1" x14ac:dyDescent="0.3">
      <c r="A305" s="22">
        <f t="shared" si="10"/>
        <v>44</v>
      </c>
      <c r="B305" s="6">
        <v>44134</v>
      </c>
      <c r="C305" s="17">
        <f t="shared" si="9"/>
        <v>0</v>
      </c>
      <c r="D305" s="30">
        <v>0</v>
      </c>
      <c r="E305" s="30">
        <v>0</v>
      </c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</row>
    <row r="306" spans="1:21" s="4" customFormat="1" ht="15.75" thickBot="1" x14ac:dyDescent="0.3">
      <c r="A306" s="16">
        <f t="shared" si="10"/>
        <v>44</v>
      </c>
      <c r="B306" s="6">
        <v>44135</v>
      </c>
      <c r="C306" s="15">
        <f t="shared" si="9"/>
        <v>0</v>
      </c>
      <c r="D306" s="30">
        <v>0</v>
      </c>
      <c r="E306" s="30">
        <v>0</v>
      </c>
      <c r="F306" s="24">
        <f>SUM(C276:C306)</f>
        <v>87.75</v>
      </c>
    </row>
    <row r="307" spans="1:21" s="4" customFormat="1" x14ac:dyDescent="0.25">
      <c r="A307" s="1">
        <f t="shared" si="10"/>
        <v>44</v>
      </c>
      <c r="B307" s="6">
        <v>44136</v>
      </c>
      <c r="C307" s="3">
        <f t="shared" si="9"/>
        <v>0</v>
      </c>
      <c r="D307" s="30">
        <v>0</v>
      </c>
      <c r="E307" s="30">
        <v>0</v>
      </c>
    </row>
    <row r="308" spans="1:21" s="4" customFormat="1" x14ac:dyDescent="0.25">
      <c r="A308" s="1">
        <f t="shared" si="10"/>
        <v>45</v>
      </c>
      <c r="B308" s="6">
        <v>44137</v>
      </c>
      <c r="C308" s="3">
        <f t="shared" si="9"/>
        <v>0</v>
      </c>
      <c r="D308" s="30">
        <v>0</v>
      </c>
      <c r="E308" s="30">
        <v>0</v>
      </c>
    </row>
    <row r="309" spans="1:21" s="4" customFormat="1" x14ac:dyDescent="0.25">
      <c r="A309" s="1">
        <f t="shared" si="10"/>
        <v>45</v>
      </c>
      <c r="B309" s="6">
        <v>44138</v>
      </c>
      <c r="C309" s="3">
        <f t="shared" si="9"/>
        <v>0</v>
      </c>
      <c r="D309" s="30">
        <v>0</v>
      </c>
      <c r="E309" s="30">
        <v>0</v>
      </c>
    </row>
    <row r="310" spans="1:21" s="4" customFormat="1" x14ac:dyDescent="0.25">
      <c r="A310" s="1">
        <f t="shared" si="10"/>
        <v>45</v>
      </c>
      <c r="B310" s="6">
        <v>44139</v>
      </c>
      <c r="C310" s="3">
        <f t="shared" si="9"/>
        <v>0</v>
      </c>
      <c r="D310" s="30">
        <v>0</v>
      </c>
      <c r="E310" s="30">
        <v>0</v>
      </c>
    </row>
    <row r="311" spans="1:21" s="4" customFormat="1" x14ac:dyDescent="0.25">
      <c r="A311" s="1">
        <f t="shared" si="10"/>
        <v>45</v>
      </c>
      <c r="B311" s="6">
        <v>44140</v>
      </c>
      <c r="C311" s="3">
        <f t="shared" si="9"/>
        <v>0</v>
      </c>
      <c r="D311" s="30">
        <v>0</v>
      </c>
      <c r="E311" s="30">
        <v>0</v>
      </c>
    </row>
    <row r="312" spans="1:21" s="4" customFormat="1" x14ac:dyDescent="0.25">
      <c r="A312" s="1">
        <f t="shared" si="10"/>
        <v>45</v>
      </c>
      <c r="B312" s="6">
        <v>44141</v>
      </c>
      <c r="C312" s="3">
        <f t="shared" si="9"/>
        <v>0</v>
      </c>
      <c r="D312" s="30">
        <v>0</v>
      </c>
      <c r="E312" s="30">
        <v>0</v>
      </c>
    </row>
    <row r="313" spans="1:21" s="4" customFormat="1" x14ac:dyDescent="0.25">
      <c r="A313" s="1">
        <f t="shared" si="10"/>
        <v>45</v>
      </c>
      <c r="B313" s="6">
        <v>44142</v>
      </c>
      <c r="C313" s="3">
        <f t="shared" si="9"/>
        <v>0</v>
      </c>
      <c r="D313" s="30">
        <v>0</v>
      </c>
      <c r="E313" s="30">
        <v>0</v>
      </c>
    </row>
    <row r="314" spans="1:21" s="4" customFormat="1" x14ac:dyDescent="0.25">
      <c r="A314" s="1">
        <f t="shared" si="10"/>
        <v>45</v>
      </c>
      <c r="B314" s="6">
        <v>44143</v>
      </c>
      <c r="C314" s="3">
        <f t="shared" si="9"/>
        <v>0</v>
      </c>
      <c r="D314" s="30">
        <v>0</v>
      </c>
      <c r="E314" s="30">
        <v>0</v>
      </c>
    </row>
    <row r="315" spans="1:21" s="4" customFormat="1" x14ac:dyDescent="0.25">
      <c r="A315" s="1">
        <f t="shared" si="10"/>
        <v>46</v>
      </c>
      <c r="B315" s="6">
        <v>44144</v>
      </c>
      <c r="C315" s="3">
        <f t="shared" si="9"/>
        <v>0</v>
      </c>
      <c r="D315" s="30">
        <v>0</v>
      </c>
      <c r="E315" s="30">
        <v>0</v>
      </c>
    </row>
    <row r="316" spans="1:21" s="4" customFormat="1" x14ac:dyDescent="0.25">
      <c r="A316" s="1">
        <f t="shared" si="10"/>
        <v>46</v>
      </c>
      <c r="B316" s="6">
        <v>44145</v>
      </c>
      <c r="C316" s="3">
        <f t="shared" si="9"/>
        <v>0</v>
      </c>
      <c r="D316" s="30">
        <v>0</v>
      </c>
      <c r="E316" s="30">
        <v>0</v>
      </c>
    </row>
    <row r="317" spans="1:21" s="4" customFormat="1" x14ac:dyDescent="0.25">
      <c r="A317" s="1">
        <f t="shared" si="10"/>
        <v>46</v>
      </c>
      <c r="B317" s="6">
        <v>44146</v>
      </c>
      <c r="C317" s="3">
        <f t="shared" si="9"/>
        <v>0</v>
      </c>
      <c r="D317" s="30">
        <v>0</v>
      </c>
      <c r="E317" s="30">
        <v>0</v>
      </c>
    </row>
    <row r="318" spans="1:21" s="4" customFormat="1" x14ac:dyDescent="0.25">
      <c r="A318" s="1">
        <f t="shared" si="10"/>
        <v>46</v>
      </c>
      <c r="B318" s="6">
        <v>44147</v>
      </c>
      <c r="C318" s="3">
        <f t="shared" si="9"/>
        <v>0</v>
      </c>
      <c r="D318" s="30">
        <v>0</v>
      </c>
      <c r="E318" s="30">
        <v>0</v>
      </c>
    </row>
    <row r="319" spans="1:21" s="4" customFormat="1" x14ac:dyDescent="0.25">
      <c r="A319" s="1">
        <f t="shared" si="10"/>
        <v>46</v>
      </c>
      <c r="B319" s="6">
        <v>44148</v>
      </c>
      <c r="C319" s="3">
        <f t="shared" si="9"/>
        <v>0</v>
      </c>
      <c r="D319" s="30">
        <v>0</v>
      </c>
      <c r="E319" s="30">
        <v>0</v>
      </c>
    </row>
    <row r="320" spans="1:21" s="4" customFormat="1" x14ac:dyDescent="0.25">
      <c r="A320" s="1">
        <f t="shared" si="10"/>
        <v>46</v>
      </c>
      <c r="B320" s="6">
        <v>44149</v>
      </c>
      <c r="C320" s="3">
        <f t="shared" si="9"/>
        <v>0</v>
      </c>
      <c r="D320" s="30">
        <v>0</v>
      </c>
      <c r="E320" s="30">
        <v>0</v>
      </c>
    </row>
    <row r="321" spans="1:6" s="4" customFormat="1" x14ac:dyDescent="0.25">
      <c r="A321" s="1">
        <f t="shared" si="10"/>
        <v>46</v>
      </c>
      <c r="B321" s="6">
        <v>44150</v>
      </c>
      <c r="C321" s="3">
        <f t="shared" si="9"/>
        <v>0</v>
      </c>
      <c r="D321" s="30">
        <v>0</v>
      </c>
      <c r="E321" s="30">
        <v>0</v>
      </c>
    </row>
    <row r="322" spans="1:6" s="4" customFormat="1" x14ac:dyDescent="0.25">
      <c r="A322" s="1">
        <f t="shared" si="10"/>
        <v>47</v>
      </c>
      <c r="B322" s="6">
        <v>44151</v>
      </c>
      <c r="C322" s="3">
        <f t="shared" ref="C322:C367" si="11">AVERAGE(D322:E322)</f>
        <v>0</v>
      </c>
      <c r="D322" s="30">
        <v>0</v>
      </c>
      <c r="E322" s="30">
        <v>0</v>
      </c>
    </row>
    <row r="323" spans="1:6" s="4" customFormat="1" x14ac:dyDescent="0.25">
      <c r="A323" s="1">
        <f t="shared" ref="A323:A366" si="12">WEEKNUM($B323,2)</f>
        <v>47</v>
      </c>
      <c r="B323" s="6">
        <v>44152</v>
      </c>
      <c r="C323" s="3">
        <f t="shared" si="11"/>
        <v>0</v>
      </c>
      <c r="D323" s="30">
        <v>0</v>
      </c>
      <c r="E323" s="30">
        <v>0</v>
      </c>
    </row>
    <row r="324" spans="1:6" s="4" customFormat="1" x14ac:dyDescent="0.25">
      <c r="A324" s="1">
        <f t="shared" si="12"/>
        <v>47</v>
      </c>
      <c r="B324" s="6">
        <v>44153</v>
      </c>
      <c r="C324" s="3">
        <f t="shared" si="11"/>
        <v>0</v>
      </c>
      <c r="D324" s="30">
        <v>0</v>
      </c>
      <c r="E324" s="30">
        <v>0</v>
      </c>
    </row>
    <row r="325" spans="1:6" s="4" customFormat="1" x14ac:dyDescent="0.25">
      <c r="A325" s="1">
        <f t="shared" si="12"/>
        <v>47</v>
      </c>
      <c r="B325" s="6">
        <v>44154</v>
      </c>
      <c r="C325" s="3">
        <f t="shared" si="11"/>
        <v>0</v>
      </c>
      <c r="D325" s="30">
        <v>0</v>
      </c>
      <c r="E325" s="30">
        <v>0</v>
      </c>
    </row>
    <row r="326" spans="1:6" s="4" customFormat="1" x14ac:dyDescent="0.25">
      <c r="A326" s="1">
        <f t="shared" si="12"/>
        <v>47</v>
      </c>
      <c r="B326" s="6">
        <v>44155</v>
      </c>
      <c r="C326" s="3">
        <f t="shared" si="11"/>
        <v>0</v>
      </c>
      <c r="D326" s="30">
        <v>0</v>
      </c>
      <c r="E326" s="30">
        <v>0</v>
      </c>
    </row>
    <row r="327" spans="1:6" s="4" customFormat="1" x14ac:dyDescent="0.25">
      <c r="A327" s="1">
        <f t="shared" si="12"/>
        <v>47</v>
      </c>
      <c r="B327" s="6">
        <v>44156</v>
      </c>
      <c r="C327" s="3">
        <f t="shared" si="11"/>
        <v>0</v>
      </c>
      <c r="D327" s="30">
        <v>0</v>
      </c>
      <c r="E327" s="30">
        <v>0</v>
      </c>
    </row>
    <row r="328" spans="1:6" s="4" customFormat="1" x14ac:dyDescent="0.25">
      <c r="A328" s="1">
        <f t="shared" si="12"/>
        <v>47</v>
      </c>
      <c r="B328" s="6">
        <v>44157</v>
      </c>
      <c r="C328" s="3">
        <f t="shared" si="11"/>
        <v>0</v>
      </c>
      <c r="D328" s="30">
        <v>0</v>
      </c>
      <c r="E328" s="30">
        <v>0</v>
      </c>
    </row>
    <row r="329" spans="1:6" s="4" customFormat="1" x14ac:dyDescent="0.25">
      <c r="A329" s="1">
        <f t="shared" si="12"/>
        <v>48</v>
      </c>
      <c r="B329" s="6">
        <v>44158</v>
      </c>
      <c r="C329" s="3">
        <f t="shared" si="11"/>
        <v>0</v>
      </c>
      <c r="D329" s="30">
        <v>0</v>
      </c>
      <c r="E329" s="30">
        <v>0</v>
      </c>
    </row>
    <row r="330" spans="1:6" s="4" customFormat="1" x14ac:dyDescent="0.25">
      <c r="A330" s="1">
        <f t="shared" si="12"/>
        <v>48</v>
      </c>
      <c r="B330" s="6">
        <v>44159</v>
      </c>
      <c r="C330" s="3">
        <f t="shared" si="11"/>
        <v>0</v>
      </c>
      <c r="D330" s="30">
        <v>0</v>
      </c>
      <c r="E330" s="30">
        <v>0</v>
      </c>
    </row>
    <row r="331" spans="1:6" s="4" customFormat="1" x14ac:dyDescent="0.25">
      <c r="A331" s="1">
        <f t="shared" si="12"/>
        <v>48</v>
      </c>
      <c r="B331" s="6">
        <v>44160</v>
      </c>
      <c r="C331" s="3">
        <f t="shared" si="11"/>
        <v>0</v>
      </c>
      <c r="D331" s="30">
        <v>0</v>
      </c>
      <c r="E331" s="30">
        <v>0</v>
      </c>
    </row>
    <row r="332" spans="1:6" s="4" customFormat="1" x14ac:dyDescent="0.25">
      <c r="A332" s="1">
        <f t="shared" si="12"/>
        <v>48</v>
      </c>
      <c r="B332" s="6">
        <v>44161</v>
      </c>
      <c r="C332" s="3">
        <f t="shared" si="11"/>
        <v>0</v>
      </c>
      <c r="D332" s="30">
        <v>0</v>
      </c>
      <c r="E332" s="30">
        <v>0</v>
      </c>
    </row>
    <row r="333" spans="1:6" s="4" customFormat="1" x14ac:dyDescent="0.25">
      <c r="A333" s="1">
        <f t="shared" si="12"/>
        <v>48</v>
      </c>
      <c r="B333" s="6">
        <v>44162</v>
      </c>
      <c r="C333" s="3">
        <f t="shared" si="11"/>
        <v>0</v>
      </c>
      <c r="D333" s="30">
        <v>0</v>
      </c>
      <c r="E333" s="30">
        <v>0</v>
      </c>
    </row>
    <row r="334" spans="1:6" s="4" customFormat="1" x14ac:dyDescent="0.25">
      <c r="A334" s="1"/>
      <c r="B334" s="6">
        <v>44163</v>
      </c>
      <c r="C334" s="3">
        <f t="shared" si="11"/>
        <v>0</v>
      </c>
      <c r="D334" s="30">
        <v>0</v>
      </c>
      <c r="E334" s="30">
        <v>0</v>
      </c>
    </row>
    <row r="335" spans="1:6" s="4" customFormat="1" x14ac:dyDescent="0.25">
      <c r="A335" s="1">
        <f t="shared" si="12"/>
        <v>48</v>
      </c>
      <c r="B335" s="6">
        <v>44164</v>
      </c>
      <c r="C335" s="3">
        <f t="shared" si="11"/>
        <v>0</v>
      </c>
      <c r="D335" s="30">
        <v>0</v>
      </c>
      <c r="E335" s="30">
        <v>0</v>
      </c>
    </row>
    <row r="336" spans="1:6" s="25" customFormat="1" ht="15.75" thickBot="1" x14ac:dyDescent="0.3">
      <c r="A336" s="22">
        <f t="shared" si="12"/>
        <v>49</v>
      </c>
      <c r="B336" s="6">
        <v>44165</v>
      </c>
      <c r="C336" s="26">
        <f t="shared" si="11"/>
        <v>0</v>
      </c>
      <c r="D336" s="30">
        <v>0</v>
      </c>
      <c r="E336" s="30">
        <v>0</v>
      </c>
      <c r="F336" s="25">
        <f>SUM(C307:C336)</f>
        <v>0</v>
      </c>
    </row>
    <row r="337" spans="1:5" s="4" customFormat="1" x14ac:dyDescent="0.25">
      <c r="A337" s="1">
        <f t="shared" si="12"/>
        <v>49</v>
      </c>
      <c r="B337" s="6">
        <v>44166</v>
      </c>
      <c r="C337" s="3">
        <f t="shared" si="11"/>
        <v>0</v>
      </c>
      <c r="D337" s="30">
        <v>0</v>
      </c>
      <c r="E337" s="30">
        <v>0</v>
      </c>
    </row>
    <row r="338" spans="1:5" s="4" customFormat="1" x14ac:dyDescent="0.25">
      <c r="A338" s="1">
        <f t="shared" si="12"/>
        <v>49</v>
      </c>
      <c r="B338" s="6">
        <v>44167</v>
      </c>
      <c r="C338" s="3">
        <f t="shared" si="11"/>
        <v>0</v>
      </c>
      <c r="D338" s="30">
        <v>0</v>
      </c>
      <c r="E338" s="30">
        <v>0</v>
      </c>
    </row>
    <row r="339" spans="1:5" s="4" customFormat="1" x14ac:dyDescent="0.25">
      <c r="A339" s="1">
        <f t="shared" si="12"/>
        <v>49</v>
      </c>
      <c r="B339" s="6">
        <v>44168</v>
      </c>
      <c r="C339" s="3">
        <f t="shared" si="11"/>
        <v>0</v>
      </c>
      <c r="D339" s="30">
        <v>0</v>
      </c>
      <c r="E339" s="30">
        <v>0</v>
      </c>
    </row>
    <row r="340" spans="1:5" s="4" customFormat="1" x14ac:dyDescent="0.25">
      <c r="A340" s="1">
        <f t="shared" si="12"/>
        <v>49</v>
      </c>
      <c r="B340" s="6">
        <v>44169</v>
      </c>
      <c r="C340" s="3">
        <f t="shared" si="11"/>
        <v>0</v>
      </c>
      <c r="D340" s="30">
        <v>0</v>
      </c>
      <c r="E340" s="30">
        <v>0</v>
      </c>
    </row>
    <row r="341" spans="1:5" s="4" customFormat="1" x14ac:dyDescent="0.25">
      <c r="A341" s="1">
        <f t="shared" si="12"/>
        <v>49</v>
      </c>
      <c r="B341" s="6">
        <v>44170</v>
      </c>
      <c r="C341" s="3">
        <f t="shared" si="11"/>
        <v>0</v>
      </c>
      <c r="D341" s="30">
        <v>0</v>
      </c>
      <c r="E341" s="30">
        <v>0</v>
      </c>
    </row>
    <row r="342" spans="1:5" s="4" customFormat="1" x14ac:dyDescent="0.25">
      <c r="A342" s="1">
        <f t="shared" si="12"/>
        <v>49</v>
      </c>
      <c r="B342" s="6">
        <v>44171</v>
      </c>
      <c r="C342" s="3">
        <f t="shared" si="11"/>
        <v>0</v>
      </c>
      <c r="D342" s="30">
        <v>0</v>
      </c>
      <c r="E342" s="30">
        <v>0</v>
      </c>
    </row>
    <row r="343" spans="1:5" s="4" customFormat="1" x14ac:dyDescent="0.25">
      <c r="A343" s="1">
        <f t="shared" si="12"/>
        <v>50</v>
      </c>
      <c r="B343" s="6">
        <v>44172</v>
      </c>
      <c r="C343" s="3">
        <f t="shared" si="11"/>
        <v>0</v>
      </c>
      <c r="D343" s="30">
        <v>0</v>
      </c>
      <c r="E343" s="30">
        <v>0</v>
      </c>
    </row>
    <row r="344" spans="1:5" s="4" customFormat="1" x14ac:dyDescent="0.25">
      <c r="A344" s="1">
        <f t="shared" si="12"/>
        <v>50</v>
      </c>
      <c r="B344" s="6">
        <v>44173</v>
      </c>
      <c r="C344" s="3">
        <f t="shared" si="11"/>
        <v>0</v>
      </c>
      <c r="D344" s="30">
        <v>0</v>
      </c>
      <c r="E344" s="30">
        <v>0</v>
      </c>
    </row>
    <row r="345" spans="1:5" s="4" customFormat="1" x14ac:dyDescent="0.25">
      <c r="A345" s="1">
        <f t="shared" si="12"/>
        <v>50</v>
      </c>
      <c r="B345" s="6">
        <v>44174</v>
      </c>
      <c r="C345" s="3">
        <f t="shared" si="11"/>
        <v>0</v>
      </c>
      <c r="D345" s="30">
        <v>0</v>
      </c>
      <c r="E345" s="30">
        <v>0</v>
      </c>
    </row>
    <row r="346" spans="1:5" s="4" customFormat="1" x14ac:dyDescent="0.25">
      <c r="A346" s="1">
        <f t="shared" si="12"/>
        <v>50</v>
      </c>
      <c r="B346" s="6">
        <v>44175</v>
      </c>
      <c r="C346" s="3">
        <f t="shared" si="11"/>
        <v>0</v>
      </c>
      <c r="D346" s="30">
        <v>0</v>
      </c>
      <c r="E346" s="30">
        <v>0</v>
      </c>
    </row>
    <row r="347" spans="1:5" s="4" customFormat="1" x14ac:dyDescent="0.25">
      <c r="A347" s="1">
        <f t="shared" si="12"/>
        <v>50</v>
      </c>
      <c r="B347" s="6">
        <v>44176</v>
      </c>
      <c r="C347" s="3">
        <f t="shared" si="11"/>
        <v>0</v>
      </c>
      <c r="D347" s="30">
        <v>0</v>
      </c>
      <c r="E347" s="30">
        <v>0</v>
      </c>
    </row>
    <row r="348" spans="1:5" s="4" customFormat="1" x14ac:dyDescent="0.25">
      <c r="A348" s="1">
        <f t="shared" si="12"/>
        <v>50</v>
      </c>
      <c r="B348" s="6">
        <v>44177</v>
      </c>
      <c r="C348" s="3">
        <f t="shared" si="11"/>
        <v>0</v>
      </c>
      <c r="D348" s="30">
        <v>0</v>
      </c>
      <c r="E348" s="30">
        <v>0</v>
      </c>
    </row>
    <row r="349" spans="1:5" s="4" customFormat="1" x14ac:dyDescent="0.25">
      <c r="A349" s="1">
        <f t="shared" si="12"/>
        <v>50</v>
      </c>
      <c r="B349" s="6">
        <v>44178</v>
      </c>
      <c r="C349" s="3">
        <f t="shared" si="11"/>
        <v>0</v>
      </c>
      <c r="D349" s="30">
        <v>0</v>
      </c>
      <c r="E349" s="30">
        <v>0</v>
      </c>
    </row>
    <row r="350" spans="1:5" s="4" customFormat="1" x14ac:dyDescent="0.25">
      <c r="A350" s="1">
        <f t="shared" si="12"/>
        <v>51</v>
      </c>
      <c r="B350" s="6">
        <v>44179</v>
      </c>
      <c r="C350" s="3">
        <f t="shared" si="11"/>
        <v>0</v>
      </c>
      <c r="D350" s="30">
        <v>0</v>
      </c>
      <c r="E350" s="30">
        <v>0</v>
      </c>
    </row>
    <row r="351" spans="1:5" s="4" customFormat="1" x14ac:dyDescent="0.25">
      <c r="A351" s="1">
        <f t="shared" si="12"/>
        <v>51</v>
      </c>
      <c r="B351" s="6">
        <v>44180</v>
      </c>
      <c r="C351" s="3">
        <f t="shared" si="11"/>
        <v>0</v>
      </c>
      <c r="D351" s="30">
        <v>0</v>
      </c>
      <c r="E351" s="30">
        <v>0</v>
      </c>
    </row>
    <row r="352" spans="1:5" s="4" customFormat="1" x14ac:dyDescent="0.25">
      <c r="A352" s="1">
        <f t="shared" si="12"/>
        <v>51</v>
      </c>
      <c r="B352" s="6">
        <v>44181</v>
      </c>
      <c r="C352" s="3">
        <f t="shared" si="11"/>
        <v>0</v>
      </c>
      <c r="D352" s="30">
        <v>0</v>
      </c>
      <c r="E352" s="30">
        <v>0</v>
      </c>
    </row>
    <row r="353" spans="1:6" s="4" customFormat="1" x14ac:dyDescent="0.25">
      <c r="A353" s="1">
        <f t="shared" si="12"/>
        <v>51</v>
      </c>
      <c r="B353" s="6">
        <v>44182</v>
      </c>
      <c r="C353" s="3">
        <f t="shared" si="11"/>
        <v>0</v>
      </c>
      <c r="D353" s="30">
        <v>0</v>
      </c>
      <c r="E353" s="30">
        <v>0</v>
      </c>
    </row>
    <row r="354" spans="1:6" s="4" customFormat="1" x14ac:dyDescent="0.25">
      <c r="A354" s="1">
        <f t="shared" si="12"/>
        <v>51</v>
      </c>
      <c r="B354" s="6">
        <v>44183</v>
      </c>
      <c r="C354" s="3">
        <f t="shared" si="11"/>
        <v>0</v>
      </c>
      <c r="D354" s="30">
        <v>0</v>
      </c>
      <c r="E354" s="30">
        <v>0</v>
      </c>
    </row>
    <row r="355" spans="1:6" s="4" customFormat="1" x14ac:dyDescent="0.25">
      <c r="A355" s="1">
        <f t="shared" si="12"/>
        <v>51</v>
      </c>
      <c r="B355" s="6">
        <v>44184</v>
      </c>
      <c r="C355" s="3">
        <f t="shared" si="11"/>
        <v>0</v>
      </c>
      <c r="D355" s="30">
        <v>0</v>
      </c>
      <c r="E355" s="30">
        <v>0</v>
      </c>
    </row>
    <row r="356" spans="1:6" s="4" customFormat="1" x14ac:dyDescent="0.25">
      <c r="A356" s="1">
        <f t="shared" si="12"/>
        <v>51</v>
      </c>
      <c r="B356" s="6">
        <v>44185</v>
      </c>
      <c r="C356" s="3">
        <f t="shared" si="11"/>
        <v>0</v>
      </c>
      <c r="D356" s="30">
        <v>0</v>
      </c>
      <c r="E356" s="30">
        <v>0</v>
      </c>
    </row>
    <row r="357" spans="1:6" s="4" customFormat="1" x14ac:dyDescent="0.25">
      <c r="A357" s="1">
        <f t="shared" si="12"/>
        <v>52</v>
      </c>
      <c r="B357" s="6">
        <v>44186</v>
      </c>
      <c r="C357" s="3">
        <f t="shared" si="11"/>
        <v>0</v>
      </c>
      <c r="D357" s="30">
        <v>0</v>
      </c>
      <c r="E357" s="30">
        <v>0</v>
      </c>
    </row>
    <row r="358" spans="1:6" s="4" customFormat="1" x14ac:dyDescent="0.25">
      <c r="A358" s="1">
        <f t="shared" si="12"/>
        <v>52</v>
      </c>
      <c r="B358" s="6">
        <v>44187</v>
      </c>
      <c r="C358" s="3">
        <f t="shared" si="11"/>
        <v>0</v>
      </c>
      <c r="D358" s="30">
        <v>0</v>
      </c>
      <c r="E358" s="30">
        <v>0</v>
      </c>
    </row>
    <row r="359" spans="1:6" s="4" customFormat="1" x14ac:dyDescent="0.25">
      <c r="A359" s="1">
        <f t="shared" si="12"/>
        <v>52</v>
      </c>
      <c r="B359" s="6">
        <v>44188</v>
      </c>
      <c r="C359" s="3">
        <f t="shared" si="11"/>
        <v>0</v>
      </c>
      <c r="D359" s="30">
        <v>0</v>
      </c>
      <c r="E359" s="30">
        <v>0</v>
      </c>
    </row>
    <row r="360" spans="1:6" s="4" customFormat="1" x14ac:dyDescent="0.25">
      <c r="A360" s="1">
        <f t="shared" si="12"/>
        <v>52</v>
      </c>
      <c r="B360" s="6">
        <v>44189</v>
      </c>
      <c r="C360" s="3">
        <f t="shared" si="11"/>
        <v>0</v>
      </c>
      <c r="D360" s="30">
        <v>0</v>
      </c>
      <c r="E360" s="30">
        <v>0</v>
      </c>
    </row>
    <row r="361" spans="1:6" s="4" customFormat="1" x14ac:dyDescent="0.25">
      <c r="A361" s="1">
        <f t="shared" si="12"/>
        <v>52</v>
      </c>
      <c r="B361" s="6">
        <v>44190</v>
      </c>
      <c r="C361" s="3">
        <f t="shared" si="11"/>
        <v>0</v>
      </c>
      <c r="D361" s="30">
        <v>0</v>
      </c>
      <c r="E361" s="30">
        <v>0</v>
      </c>
    </row>
    <row r="362" spans="1:6" s="4" customFormat="1" x14ac:dyDescent="0.25">
      <c r="A362" s="1">
        <f t="shared" si="12"/>
        <v>52</v>
      </c>
      <c r="B362" s="6">
        <v>44191</v>
      </c>
      <c r="C362" s="3">
        <f t="shared" si="11"/>
        <v>0</v>
      </c>
      <c r="D362" s="30">
        <v>0</v>
      </c>
      <c r="E362" s="30">
        <v>0</v>
      </c>
    </row>
    <row r="363" spans="1:6" s="4" customFormat="1" x14ac:dyDescent="0.25">
      <c r="A363" s="1">
        <f t="shared" si="12"/>
        <v>52</v>
      </c>
      <c r="B363" s="6">
        <v>44192</v>
      </c>
      <c r="C363" s="3">
        <f t="shared" si="11"/>
        <v>0</v>
      </c>
      <c r="D363" s="30">
        <v>0</v>
      </c>
      <c r="E363" s="30">
        <v>0</v>
      </c>
    </row>
    <row r="364" spans="1:6" s="4" customFormat="1" x14ac:dyDescent="0.25">
      <c r="A364" s="1">
        <f t="shared" si="12"/>
        <v>53</v>
      </c>
      <c r="B364" s="6">
        <v>44193</v>
      </c>
      <c r="C364" s="3">
        <f t="shared" si="11"/>
        <v>0</v>
      </c>
      <c r="D364" s="30">
        <v>0</v>
      </c>
      <c r="E364" s="30">
        <v>0</v>
      </c>
    </row>
    <row r="365" spans="1:6" s="4" customFormat="1" x14ac:dyDescent="0.25">
      <c r="A365" s="1">
        <f t="shared" si="12"/>
        <v>53</v>
      </c>
      <c r="B365" s="6">
        <v>44194</v>
      </c>
      <c r="C365" s="3">
        <f t="shared" si="11"/>
        <v>0</v>
      </c>
      <c r="D365" s="30">
        <v>0</v>
      </c>
      <c r="E365" s="30">
        <v>0</v>
      </c>
    </row>
    <row r="366" spans="1:6" s="4" customFormat="1" x14ac:dyDescent="0.25">
      <c r="A366" s="18">
        <f t="shared" si="12"/>
        <v>53</v>
      </c>
      <c r="B366" s="6">
        <v>44195</v>
      </c>
      <c r="C366" s="3">
        <f t="shared" si="11"/>
        <v>0</v>
      </c>
      <c r="D366" s="30">
        <v>0</v>
      </c>
      <c r="E366" s="30">
        <v>0</v>
      </c>
    </row>
    <row r="367" spans="1:6" s="4" customFormat="1" x14ac:dyDescent="0.25">
      <c r="B367" s="6">
        <v>44196</v>
      </c>
      <c r="C367" s="3">
        <f t="shared" si="11"/>
        <v>0</v>
      </c>
      <c r="D367" s="30">
        <v>0</v>
      </c>
      <c r="E367" s="30">
        <v>0</v>
      </c>
      <c r="F367" s="4">
        <f>SUM(C337:C367)</f>
        <v>0</v>
      </c>
    </row>
    <row r="368" spans="1:6" ht="30" x14ac:dyDescent="0.25">
      <c r="B368" s="27" t="s">
        <v>20</v>
      </c>
      <c r="C368" s="28">
        <f>SUM(C2:C310)</f>
        <v>1194.1500000000003</v>
      </c>
      <c r="D368" s="28">
        <f>SUM(D2:D366)</f>
        <v>1167.3</v>
      </c>
      <c r="E368" s="28">
        <f t="shared" ref="E368" si="13">SUM(E2:E366)</f>
        <v>1217.5</v>
      </c>
    </row>
  </sheetData>
  <pageMargins left="0.7" right="0.7" top="0.75" bottom="0.75" header="0.3" footer="0.3"/>
  <pageSetup paperSize="8" scale="31" orientation="landscape" r:id="rId1"/>
  <rowBreaks count="3" manualBreakCount="3">
    <brk id="153" max="16383" man="1"/>
    <brk id="306" min="1" max="31" man="1"/>
    <brk id="368" max="16383" man="1"/>
  </rowBreaks>
  <colBreaks count="1" manualBreakCount="1">
    <brk id="21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topLeftCell="A10" workbookViewId="0">
      <selection activeCell="J25" sqref="J25"/>
    </sheetView>
  </sheetViews>
  <sheetFormatPr baseColWidth="10" defaultRowHeight="15" x14ac:dyDescent="0.25"/>
  <cols>
    <col min="1" max="1" width="15.42578125" customWidth="1"/>
  </cols>
  <sheetData>
    <row r="1" spans="1:10" x14ac:dyDescent="0.25">
      <c r="A1" t="s">
        <v>36</v>
      </c>
      <c r="B1">
        <v>2014</v>
      </c>
      <c r="C1">
        <v>2015</v>
      </c>
      <c r="D1">
        <v>2016</v>
      </c>
      <c r="E1">
        <v>2017</v>
      </c>
      <c r="F1">
        <v>2018</v>
      </c>
      <c r="G1">
        <v>2019</v>
      </c>
      <c r="H1">
        <v>2020</v>
      </c>
      <c r="I1">
        <v>2021</v>
      </c>
      <c r="J1">
        <v>2022</v>
      </c>
    </row>
    <row r="2" spans="1:10" x14ac:dyDescent="0.25">
      <c r="A2" t="s">
        <v>37</v>
      </c>
      <c r="B2">
        <v>1149.1500000000001</v>
      </c>
      <c r="C2">
        <v>1091.9829999999999</v>
      </c>
      <c r="D2">
        <v>1221.7660000000001</v>
      </c>
      <c r="E2">
        <v>905.01499999999999</v>
      </c>
      <c r="F2">
        <v>1146</v>
      </c>
      <c r="G2">
        <v>1250.45</v>
      </c>
      <c r="H2">
        <v>1164.1500000000001</v>
      </c>
      <c r="I2">
        <v>1229.567</v>
      </c>
      <c r="J2">
        <v>1256.5730000000001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Views>
    <sheetView tabSelected="1" workbookViewId="0">
      <selection activeCell="K15" sqref="K15"/>
    </sheetView>
  </sheetViews>
  <sheetFormatPr baseColWidth="10" defaultRowHeight="15" x14ac:dyDescent="0.25"/>
  <cols>
    <col min="1" max="1" width="16.140625" customWidth="1"/>
  </cols>
  <sheetData>
    <row r="1" spans="1:13" x14ac:dyDescent="0.25">
      <c r="A1" t="s">
        <v>38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</row>
    <row r="2" spans="1:13" x14ac:dyDescent="0.25">
      <c r="A2" t="s">
        <v>39</v>
      </c>
      <c r="B2">
        <v>0.3</v>
      </c>
      <c r="C2">
        <v>2.1</v>
      </c>
      <c r="D2">
        <v>22.94</v>
      </c>
      <c r="E2">
        <v>35.21</v>
      </c>
      <c r="F2">
        <v>114.97</v>
      </c>
      <c r="G2">
        <v>153.024</v>
      </c>
      <c r="H2">
        <v>209.19</v>
      </c>
      <c r="I2">
        <v>335.47</v>
      </c>
      <c r="J2">
        <v>212.59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367"/>
  <sheetViews>
    <sheetView showGridLines="0" view="pageBreakPreview" topLeftCell="B1" zoomScale="68" zoomScaleNormal="44" zoomScaleSheetLayoutView="68" workbookViewId="0">
      <pane ySplit="1" topLeftCell="A2" activePane="bottomLeft" state="frozen"/>
      <selection activeCell="B1" sqref="B1"/>
      <selection pane="bottomLeft" activeCell="L13" sqref="L13"/>
    </sheetView>
  </sheetViews>
  <sheetFormatPr baseColWidth="10" defaultColWidth="9.140625" defaultRowHeight="15" x14ac:dyDescent="0.25"/>
  <cols>
    <col min="1" max="1" width="0" style="4" hidden="1" customWidth="1"/>
    <col min="2" max="2" width="12.5703125" style="4" customWidth="1"/>
    <col min="3" max="3" width="9.140625" style="28"/>
    <col min="4" max="4" width="10.28515625" style="4" customWidth="1"/>
    <col min="5" max="5" width="8.140625" style="4" bestFit="1" customWidth="1"/>
    <col min="6" max="8" width="8.140625" style="4" customWidth="1"/>
    <col min="9" max="10" width="13.5703125" style="4" customWidth="1"/>
    <col min="11" max="12" width="9.140625" style="4"/>
    <col min="13" max="13" width="19.85546875" style="4" bestFit="1" customWidth="1"/>
    <col min="14" max="38" width="9.140625" style="4"/>
    <col min="39" max="16384" width="9.140625" style="29"/>
  </cols>
  <sheetData>
    <row r="1" spans="1:15" s="4" customFormat="1" x14ac:dyDescent="0.25">
      <c r="A1" s="1" t="s">
        <v>13</v>
      </c>
      <c r="B1" s="2" t="s">
        <v>14</v>
      </c>
      <c r="C1" s="3" t="s">
        <v>0</v>
      </c>
      <c r="D1" s="2" t="s">
        <v>21</v>
      </c>
      <c r="E1" s="2" t="s">
        <v>22</v>
      </c>
      <c r="F1" s="33" t="s">
        <v>23</v>
      </c>
      <c r="G1" s="33" t="s">
        <v>24</v>
      </c>
      <c r="H1" s="33" t="s">
        <v>25</v>
      </c>
      <c r="I1" s="33" t="s">
        <v>26</v>
      </c>
      <c r="J1" s="33" t="s">
        <v>27</v>
      </c>
      <c r="M1" s="5"/>
    </row>
    <row r="2" spans="1:15" s="4" customFormat="1" x14ac:dyDescent="0.25">
      <c r="A2" s="1">
        <f>WEEKNUM($B2,2)</f>
        <v>1</v>
      </c>
      <c r="B2" s="6">
        <v>44197</v>
      </c>
      <c r="C2" s="3">
        <f>AVERAGE(D2:J2)</f>
        <v>0</v>
      </c>
      <c r="D2" s="30">
        <v>0</v>
      </c>
      <c r="E2" s="30">
        <v>0</v>
      </c>
      <c r="F2" s="29">
        <v>0</v>
      </c>
      <c r="G2" s="29">
        <v>0</v>
      </c>
      <c r="H2" s="29">
        <v>0</v>
      </c>
      <c r="I2" s="29">
        <v>0</v>
      </c>
      <c r="J2" s="29"/>
    </row>
    <row r="3" spans="1:15" s="4" customFormat="1" x14ac:dyDescent="0.25">
      <c r="A3" s="1">
        <f t="shared" ref="A3:A65" si="0">WEEKNUM($B3,2)</f>
        <v>1</v>
      </c>
      <c r="B3" s="6">
        <v>44198</v>
      </c>
      <c r="C3" s="3">
        <f t="shared" ref="C3:C66" si="1">AVERAGE(D3:J3)</f>
        <v>0</v>
      </c>
      <c r="D3" s="30">
        <v>0</v>
      </c>
      <c r="E3" s="30">
        <v>0</v>
      </c>
      <c r="F3" s="29">
        <v>0</v>
      </c>
      <c r="G3" s="29">
        <v>0</v>
      </c>
      <c r="H3" s="29">
        <v>0</v>
      </c>
      <c r="I3" s="29">
        <v>0</v>
      </c>
      <c r="J3" s="29"/>
    </row>
    <row r="4" spans="1:15" s="4" customFormat="1" x14ac:dyDescent="0.25">
      <c r="A4" s="1">
        <f t="shared" si="0"/>
        <v>1</v>
      </c>
      <c r="B4" s="6">
        <v>44199</v>
      </c>
      <c r="C4" s="3">
        <f t="shared" si="1"/>
        <v>0</v>
      </c>
      <c r="D4" s="30">
        <v>0</v>
      </c>
      <c r="E4" s="30">
        <v>0</v>
      </c>
      <c r="F4" s="29">
        <v>0</v>
      </c>
      <c r="G4" s="29">
        <v>0</v>
      </c>
      <c r="H4" s="29">
        <v>0</v>
      </c>
      <c r="I4" s="29">
        <v>0</v>
      </c>
      <c r="J4" s="29"/>
    </row>
    <row r="5" spans="1:15" s="4" customFormat="1" x14ac:dyDescent="0.25">
      <c r="A5" s="1">
        <f t="shared" si="0"/>
        <v>2</v>
      </c>
      <c r="B5" s="6">
        <v>44200</v>
      </c>
      <c r="C5" s="3">
        <f t="shared" si="1"/>
        <v>0</v>
      </c>
      <c r="D5" s="30">
        <v>0</v>
      </c>
      <c r="E5" s="30">
        <v>0</v>
      </c>
      <c r="F5" s="29">
        <v>0</v>
      </c>
      <c r="G5" s="29">
        <v>0</v>
      </c>
      <c r="H5" s="29">
        <v>0</v>
      </c>
      <c r="I5" s="29">
        <v>0</v>
      </c>
      <c r="J5" s="29"/>
    </row>
    <row r="6" spans="1:15" s="4" customFormat="1" x14ac:dyDescent="0.25">
      <c r="A6" s="1">
        <f t="shared" si="0"/>
        <v>2</v>
      </c>
      <c r="B6" s="6">
        <v>44201</v>
      </c>
      <c r="C6" s="3">
        <f t="shared" si="1"/>
        <v>0</v>
      </c>
      <c r="D6" s="30">
        <v>0</v>
      </c>
      <c r="E6" s="30">
        <v>0</v>
      </c>
      <c r="F6" s="29">
        <v>0</v>
      </c>
      <c r="G6" s="29">
        <v>0</v>
      </c>
      <c r="H6" s="29">
        <v>0</v>
      </c>
      <c r="I6" s="29">
        <v>0</v>
      </c>
      <c r="J6" s="29"/>
      <c r="K6" s="7" t="s">
        <v>15</v>
      </c>
      <c r="L6" s="7" t="s">
        <v>16</v>
      </c>
      <c r="M6" s="7" t="s">
        <v>17</v>
      </c>
      <c r="N6" s="7" t="s">
        <v>18</v>
      </c>
      <c r="O6" s="7" t="s">
        <v>19</v>
      </c>
    </row>
    <row r="7" spans="1:15" s="4" customFormat="1" x14ac:dyDescent="0.25">
      <c r="A7" s="1">
        <f t="shared" si="0"/>
        <v>2</v>
      </c>
      <c r="B7" s="6">
        <v>44202</v>
      </c>
      <c r="C7" s="3">
        <f t="shared" si="1"/>
        <v>0</v>
      </c>
      <c r="D7" s="30">
        <v>0</v>
      </c>
      <c r="E7" s="30">
        <v>0</v>
      </c>
      <c r="F7" s="29">
        <v>0</v>
      </c>
      <c r="G7" s="29">
        <v>0</v>
      </c>
      <c r="H7" s="29">
        <v>0</v>
      </c>
      <c r="I7" s="29">
        <v>0</v>
      </c>
      <c r="J7" s="29"/>
      <c r="K7" s="5" t="s">
        <v>1</v>
      </c>
      <c r="L7" s="4">
        <f>SUM($C$2:$C$32)</f>
        <v>0</v>
      </c>
      <c r="M7" s="4">
        <f>COUNTIF($D$2:$D$32,"&gt;0")</f>
        <v>0</v>
      </c>
      <c r="O7" s="4">
        <f>L7</f>
        <v>0</v>
      </c>
    </row>
    <row r="8" spans="1:15" s="4" customFormat="1" x14ac:dyDescent="0.25">
      <c r="A8" s="1">
        <f t="shared" si="0"/>
        <v>2</v>
      </c>
      <c r="B8" s="6">
        <v>44203</v>
      </c>
      <c r="C8" s="3">
        <f t="shared" si="1"/>
        <v>0</v>
      </c>
      <c r="D8" s="30">
        <v>0</v>
      </c>
      <c r="E8" s="30">
        <v>0</v>
      </c>
      <c r="F8" s="29">
        <v>0</v>
      </c>
      <c r="G8" s="29">
        <v>0</v>
      </c>
      <c r="H8" s="29">
        <v>0</v>
      </c>
      <c r="I8" s="29">
        <v>0</v>
      </c>
      <c r="J8" s="29"/>
      <c r="K8" s="5" t="s">
        <v>2</v>
      </c>
      <c r="L8" s="8">
        <f>SUM($C$33:$C$60)</f>
        <v>10.736666666666666</v>
      </c>
      <c r="M8" s="4">
        <f>COUNTIF($D$33:$D$60,"&gt;0")</f>
        <v>1</v>
      </c>
      <c r="N8" s="9">
        <f>M8/28</f>
        <v>3.5714285714285712E-2</v>
      </c>
      <c r="O8" s="4">
        <f>O7+L8</f>
        <v>10.736666666666666</v>
      </c>
    </row>
    <row r="9" spans="1:15" s="4" customFormat="1" x14ac:dyDescent="0.25">
      <c r="A9" s="1">
        <f t="shared" si="0"/>
        <v>2</v>
      </c>
      <c r="B9" s="6">
        <v>44204</v>
      </c>
      <c r="C9" s="3">
        <f t="shared" si="1"/>
        <v>0</v>
      </c>
      <c r="D9" s="30">
        <v>0</v>
      </c>
      <c r="E9" s="30">
        <v>0</v>
      </c>
      <c r="F9" s="29">
        <v>0</v>
      </c>
      <c r="G9" s="29">
        <v>0</v>
      </c>
      <c r="H9" s="29">
        <v>0</v>
      </c>
      <c r="I9" s="29">
        <v>0</v>
      </c>
      <c r="J9" s="29"/>
      <c r="K9" s="5" t="s">
        <v>3</v>
      </c>
      <c r="L9" s="10">
        <f>SUM($C$61:$C$91)</f>
        <v>3.8333333333333335</v>
      </c>
      <c r="M9" s="4">
        <f>COUNTIF($D$61:$D$91,"&gt;0")</f>
        <v>1</v>
      </c>
      <c r="N9" s="9">
        <f>M9/31</f>
        <v>3.2258064516129031E-2</v>
      </c>
      <c r="O9" s="10">
        <f>O8+L9</f>
        <v>14.57</v>
      </c>
    </row>
    <row r="10" spans="1:15" s="4" customFormat="1" x14ac:dyDescent="0.25">
      <c r="A10" s="1">
        <f t="shared" si="0"/>
        <v>2</v>
      </c>
      <c r="B10" s="6">
        <v>44205</v>
      </c>
      <c r="C10" s="3">
        <f t="shared" si="1"/>
        <v>0</v>
      </c>
      <c r="D10" s="30">
        <v>0</v>
      </c>
      <c r="E10" s="30">
        <v>0</v>
      </c>
      <c r="F10" s="29">
        <v>0</v>
      </c>
      <c r="G10" s="29">
        <v>0</v>
      </c>
      <c r="H10" s="29">
        <v>0</v>
      </c>
      <c r="I10" s="29">
        <v>0</v>
      </c>
      <c r="J10" s="29"/>
      <c r="K10" s="5" t="s">
        <v>4</v>
      </c>
      <c r="L10" s="10">
        <f>SUM($C$92:$C$121)</f>
        <v>17.973333333333333</v>
      </c>
      <c r="M10" s="4">
        <f>COUNTIF($D$92:$D$121,"&gt;0")</f>
        <v>1</v>
      </c>
      <c r="N10" s="9">
        <f>M10/30</f>
        <v>3.3333333333333333E-2</v>
      </c>
      <c r="O10" s="10">
        <f>O9+L10</f>
        <v>32.543333333333337</v>
      </c>
    </row>
    <row r="11" spans="1:15" s="4" customFormat="1" x14ac:dyDescent="0.25">
      <c r="A11" s="1">
        <f t="shared" si="0"/>
        <v>2</v>
      </c>
      <c r="B11" s="6">
        <v>44206</v>
      </c>
      <c r="C11" s="3">
        <f t="shared" si="1"/>
        <v>0</v>
      </c>
      <c r="D11" s="30">
        <v>0</v>
      </c>
      <c r="E11" s="30">
        <v>0</v>
      </c>
      <c r="F11" s="29">
        <v>0</v>
      </c>
      <c r="G11" s="29">
        <v>0</v>
      </c>
      <c r="H11" s="29">
        <v>0</v>
      </c>
      <c r="I11" s="29">
        <v>0</v>
      </c>
      <c r="J11" s="29"/>
      <c r="K11" s="5" t="s">
        <v>5</v>
      </c>
      <c r="L11" s="10">
        <f>SUM($C$122:$C$152)</f>
        <v>112.37</v>
      </c>
      <c r="M11" s="4">
        <f>COUNTIF($D$122:$D$152,"&gt;0")</f>
        <v>6</v>
      </c>
      <c r="N11" s="9">
        <f>M11/31</f>
        <v>0.19354838709677419</v>
      </c>
      <c r="O11" s="10">
        <f>O10+L11</f>
        <v>144.91333333333336</v>
      </c>
    </row>
    <row r="12" spans="1:15" s="4" customFormat="1" x14ac:dyDescent="0.25">
      <c r="A12" s="1">
        <f t="shared" si="0"/>
        <v>3</v>
      </c>
      <c r="B12" s="6">
        <v>44207</v>
      </c>
      <c r="C12" s="3">
        <f t="shared" si="1"/>
        <v>0</v>
      </c>
      <c r="D12" s="30">
        <v>0</v>
      </c>
      <c r="E12" s="30">
        <v>0</v>
      </c>
      <c r="F12" s="29">
        <v>0</v>
      </c>
      <c r="G12" s="29">
        <v>0</v>
      </c>
      <c r="H12" s="29">
        <v>0</v>
      </c>
      <c r="I12" s="29">
        <v>0</v>
      </c>
      <c r="J12" s="29"/>
      <c r="K12" s="5" t="s">
        <v>6</v>
      </c>
      <c r="L12" s="10">
        <f>SUM($C$153:$C$182)</f>
        <v>178.08933333333331</v>
      </c>
      <c r="M12" s="4">
        <f>COUNTIF($D$153:$D$182,"&gt;0")</f>
        <v>11</v>
      </c>
      <c r="N12" s="9">
        <f>M12/30</f>
        <v>0.36666666666666664</v>
      </c>
      <c r="O12" s="10">
        <f t="shared" ref="O12:O17" si="2">O11+L12</f>
        <v>323.00266666666664</v>
      </c>
    </row>
    <row r="13" spans="1:15" s="4" customFormat="1" x14ac:dyDescent="0.25">
      <c r="A13" s="1">
        <f t="shared" si="0"/>
        <v>3</v>
      </c>
      <c r="B13" s="6">
        <v>44208</v>
      </c>
      <c r="C13" s="3">
        <f t="shared" si="1"/>
        <v>0</v>
      </c>
      <c r="D13" s="30">
        <v>0</v>
      </c>
      <c r="E13" s="30">
        <v>0</v>
      </c>
      <c r="F13" s="29">
        <v>0</v>
      </c>
      <c r="G13" s="29">
        <v>0</v>
      </c>
      <c r="H13" s="29">
        <v>0</v>
      </c>
      <c r="I13" s="29">
        <v>0</v>
      </c>
      <c r="J13" s="29"/>
      <c r="K13" s="5" t="s">
        <v>7</v>
      </c>
      <c r="L13" s="10">
        <f>SUM($C$183:$C$213)</f>
        <v>321.10566666666665</v>
      </c>
      <c r="M13" s="4">
        <f>COUNTIF($D$183:$D$213,"&gt;0")</f>
        <v>14</v>
      </c>
      <c r="N13" s="9">
        <f>M13/31</f>
        <v>0.45161290322580644</v>
      </c>
      <c r="O13" s="10">
        <f t="shared" si="2"/>
        <v>644.10833333333335</v>
      </c>
    </row>
    <row r="14" spans="1:15" s="4" customFormat="1" x14ac:dyDescent="0.25">
      <c r="A14" s="1">
        <f t="shared" si="0"/>
        <v>3</v>
      </c>
      <c r="B14" s="6">
        <v>44209</v>
      </c>
      <c r="C14" s="3">
        <f t="shared" si="1"/>
        <v>0</v>
      </c>
      <c r="D14" s="30">
        <v>0</v>
      </c>
      <c r="E14" s="30">
        <v>0</v>
      </c>
      <c r="F14" s="29">
        <v>0</v>
      </c>
      <c r="G14" s="29">
        <v>0</v>
      </c>
      <c r="H14" s="29">
        <v>0</v>
      </c>
      <c r="I14" s="29">
        <v>0</v>
      </c>
      <c r="J14" s="29"/>
      <c r="K14" s="5" t="s">
        <v>8</v>
      </c>
      <c r="L14" s="10">
        <f>SUM($C$214:$C$244)</f>
        <v>217.5336666666667</v>
      </c>
      <c r="M14" s="4">
        <f>COUNTIF($D$214:$D$244,"&gt;0")</f>
        <v>23</v>
      </c>
      <c r="N14" s="9">
        <f>M14/31</f>
        <v>0.74193548387096775</v>
      </c>
      <c r="O14" s="10">
        <f t="shared" si="2"/>
        <v>861.64200000000005</v>
      </c>
    </row>
    <row r="15" spans="1:15" s="4" customFormat="1" x14ac:dyDescent="0.25">
      <c r="A15" s="1">
        <f t="shared" si="0"/>
        <v>3</v>
      </c>
      <c r="B15" s="6">
        <v>44210</v>
      </c>
      <c r="C15" s="3">
        <f t="shared" si="1"/>
        <v>0</v>
      </c>
      <c r="D15" s="30">
        <v>0</v>
      </c>
      <c r="E15" s="30">
        <v>0</v>
      </c>
      <c r="F15" s="29">
        <v>0</v>
      </c>
      <c r="G15" s="29">
        <v>0</v>
      </c>
      <c r="H15" s="29">
        <v>0</v>
      </c>
      <c r="I15" s="29">
        <v>0</v>
      </c>
      <c r="J15" s="29"/>
      <c r="K15" s="5" t="s">
        <v>9</v>
      </c>
      <c r="L15" s="10">
        <f>SUM($C$245:$C$274)</f>
        <v>192.54499999999996</v>
      </c>
      <c r="M15" s="4">
        <f>COUNTIF($D$245:$D$274,"&gt;0")</f>
        <v>13</v>
      </c>
      <c r="N15" s="9">
        <f>M15/30</f>
        <v>0.43333333333333335</v>
      </c>
      <c r="O15" s="10">
        <f t="shared" si="2"/>
        <v>1054.1869999999999</v>
      </c>
    </row>
    <row r="16" spans="1:15" s="4" customFormat="1" x14ac:dyDescent="0.25">
      <c r="A16" s="1">
        <f t="shared" si="0"/>
        <v>3</v>
      </c>
      <c r="B16" s="6">
        <v>44211</v>
      </c>
      <c r="C16" s="3">
        <f t="shared" si="1"/>
        <v>0</v>
      </c>
      <c r="D16" s="30">
        <v>0</v>
      </c>
      <c r="E16" s="30">
        <v>0</v>
      </c>
      <c r="F16" s="29">
        <v>0</v>
      </c>
      <c r="G16" s="29">
        <v>0</v>
      </c>
      <c r="H16" s="29">
        <v>0</v>
      </c>
      <c r="I16" s="29">
        <v>0</v>
      </c>
      <c r="J16" s="29"/>
      <c r="K16" s="5" t="s">
        <v>10</v>
      </c>
      <c r="L16" s="10">
        <f>SUM($C$275:$C$305)</f>
        <v>169.9316666666667</v>
      </c>
      <c r="M16" s="4">
        <f>COUNTIF($D$275:$D$304,"&gt;0")</f>
        <v>10</v>
      </c>
      <c r="N16" s="9">
        <f>M16/31</f>
        <v>0.32258064516129031</v>
      </c>
      <c r="O16" s="10">
        <f t="shared" si="2"/>
        <v>1224.1186666666665</v>
      </c>
    </row>
    <row r="17" spans="1:15" s="4" customFormat="1" x14ac:dyDescent="0.25">
      <c r="A17" s="1">
        <f t="shared" si="0"/>
        <v>3</v>
      </c>
      <c r="B17" s="6">
        <v>44212</v>
      </c>
      <c r="C17" s="3">
        <f t="shared" si="1"/>
        <v>0</v>
      </c>
      <c r="D17" s="30">
        <v>0</v>
      </c>
      <c r="E17" s="30">
        <v>0</v>
      </c>
      <c r="F17" s="29">
        <v>0</v>
      </c>
      <c r="G17" s="29">
        <v>0</v>
      </c>
      <c r="H17" s="29">
        <v>0</v>
      </c>
      <c r="I17" s="29">
        <v>0</v>
      </c>
      <c r="J17" s="29"/>
      <c r="K17" s="5" t="s">
        <v>11</v>
      </c>
      <c r="L17" s="10">
        <f>SUM($C$306:$C$335)</f>
        <v>5.4483333333333333</v>
      </c>
      <c r="M17" s="4">
        <f>COUNTIF($D$305:$D$354,"&gt;0")</f>
        <v>1</v>
      </c>
      <c r="N17" s="9">
        <f>M17/30</f>
        <v>3.3333333333333333E-2</v>
      </c>
      <c r="O17" s="10">
        <f t="shared" si="2"/>
        <v>1229.5669999999998</v>
      </c>
    </row>
    <row r="18" spans="1:15" s="4" customFormat="1" x14ac:dyDescent="0.25">
      <c r="A18" s="1">
        <f t="shared" si="0"/>
        <v>3</v>
      </c>
      <c r="B18" s="6">
        <v>44213</v>
      </c>
      <c r="C18" s="3">
        <f t="shared" si="1"/>
        <v>0</v>
      </c>
      <c r="D18" s="30">
        <v>0</v>
      </c>
      <c r="E18" s="30">
        <v>0</v>
      </c>
      <c r="F18" s="29">
        <v>0</v>
      </c>
      <c r="G18" s="29">
        <v>0</v>
      </c>
      <c r="H18" s="29">
        <v>0</v>
      </c>
      <c r="I18" s="29">
        <v>0</v>
      </c>
      <c r="J18" s="29"/>
      <c r="K18" s="5" t="s">
        <v>12</v>
      </c>
      <c r="L18" s="10">
        <f>SUM($C$336:$C$366)</f>
        <v>0</v>
      </c>
      <c r="M18" s="4">
        <f>COUNTIF($D$336:$D$365,"&gt;0")</f>
        <v>0</v>
      </c>
      <c r="N18" s="11">
        <f>M18/31</f>
        <v>0</v>
      </c>
      <c r="O18" s="10">
        <f>O17+L18</f>
        <v>1229.5669999999998</v>
      </c>
    </row>
    <row r="19" spans="1:15" s="4" customFormat="1" x14ac:dyDescent="0.25">
      <c r="A19" s="1">
        <f t="shared" si="0"/>
        <v>4</v>
      </c>
      <c r="B19" s="6">
        <v>44214</v>
      </c>
      <c r="C19" s="3">
        <f t="shared" si="1"/>
        <v>0</v>
      </c>
      <c r="D19" s="30">
        <v>0</v>
      </c>
      <c r="E19" s="30">
        <v>0</v>
      </c>
      <c r="F19" s="29">
        <v>0</v>
      </c>
      <c r="G19" s="29">
        <v>0</v>
      </c>
      <c r="H19" s="29">
        <v>0</v>
      </c>
      <c r="I19" s="29">
        <v>0</v>
      </c>
      <c r="J19" s="29"/>
    </row>
    <row r="20" spans="1:15" s="4" customFormat="1" x14ac:dyDescent="0.25">
      <c r="A20" s="1">
        <f t="shared" si="0"/>
        <v>4</v>
      </c>
      <c r="B20" s="6">
        <v>44215</v>
      </c>
      <c r="C20" s="3">
        <f t="shared" si="1"/>
        <v>0</v>
      </c>
      <c r="D20" s="30">
        <v>0</v>
      </c>
      <c r="E20" s="30">
        <v>0</v>
      </c>
      <c r="F20" s="29">
        <v>0</v>
      </c>
      <c r="G20" s="29">
        <v>0</v>
      </c>
      <c r="H20" s="29">
        <v>0</v>
      </c>
      <c r="I20" s="29">
        <v>0</v>
      </c>
      <c r="J20" s="29"/>
    </row>
    <row r="21" spans="1:15" s="4" customFormat="1" x14ac:dyDescent="0.25">
      <c r="A21" s="1">
        <f t="shared" si="0"/>
        <v>4</v>
      </c>
      <c r="B21" s="6">
        <v>44216</v>
      </c>
      <c r="C21" s="3">
        <f t="shared" si="1"/>
        <v>0</v>
      </c>
      <c r="D21" s="30">
        <v>0</v>
      </c>
      <c r="E21" s="30">
        <v>0</v>
      </c>
      <c r="F21" s="29">
        <v>0</v>
      </c>
      <c r="G21" s="29">
        <v>0</v>
      </c>
      <c r="H21" s="29">
        <v>0</v>
      </c>
      <c r="I21" s="29">
        <v>0</v>
      </c>
      <c r="J21" s="29"/>
    </row>
    <row r="22" spans="1:15" s="4" customFormat="1" x14ac:dyDescent="0.25">
      <c r="A22" s="1">
        <f t="shared" si="0"/>
        <v>4</v>
      </c>
      <c r="B22" s="6">
        <v>44217</v>
      </c>
      <c r="C22" s="3">
        <f t="shared" si="1"/>
        <v>0</v>
      </c>
      <c r="D22" s="30">
        <v>0</v>
      </c>
      <c r="E22" s="30">
        <v>0</v>
      </c>
      <c r="F22" s="29">
        <v>0</v>
      </c>
      <c r="G22" s="29">
        <v>0</v>
      </c>
      <c r="H22" s="29">
        <v>0</v>
      </c>
      <c r="I22" s="29">
        <v>0</v>
      </c>
      <c r="J22" s="29"/>
    </row>
    <row r="23" spans="1:15" s="4" customFormat="1" x14ac:dyDescent="0.25">
      <c r="A23" s="1">
        <f t="shared" si="0"/>
        <v>4</v>
      </c>
      <c r="B23" s="6">
        <v>44218</v>
      </c>
      <c r="C23" s="3">
        <f t="shared" si="1"/>
        <v>0</v>
      </c>
      <c r="D23" s="30">
        <v>0</v>
      </c>
      <c r="E23" s="30">
        <v>0</v>
      </c>
      <c r="F23" s="29">
        <v>0</v>
      </c>
      <c r="G23" s="29">
        <v>0</v>
      </c>
      <c r="H23" s="29">
        <v>0</v>
      </c>
      <c r="I23" s="29">
        <v>0</v>
      </c>
      <c r="J23" s="29"/>
    </row>
    <row r="24" spans="1:15" s="4" customFormat="1" x14ac:dyDescent="0.25">
      <c r="A24" s="1">
        <f t="shared" si="0"/>
        <v>4</v>
      </c>
      <c r="B24" s="6">
        <v>44219</v>
      </c>
      <c r="C24" s="3">
        <f t="shared" si="1"/>
        <v>0</v>
      </c>
      <c r="D24" s="30">
        <v>0</v>
      </c>
      <c r="E24" s="30">
        <v>0</v>
      </c>
      <c r="F24" s="29">
        <v>0</v>
      </c>
      <c r="G24" s="29">
        <v>0</v>
      </c>
      <c r="H24" s="29">
        <v>0</v>
      </c>
      <c r="I24" s="29">
        <v>0</v>
      </c>
      <c r="J24" s="29"/>
    </row>
    <row r="25" spans="1:15" s="4" customFormat="1" x14ac:dyDescent="0.25">
      <c r="A25" s="1">
        <f t="shared" si="0"/>
        <v>4</v>
      </c>
      <c r="B25" s="6">
        <v>44220</v>
      </c>
      <c r="C25" s="3">
        <f t="shared" si="1"/>
        <v>0</v>
      </c>
      <c r="D25" s="30">
        <v>0</v>
      </c>
      <c r="E25" s="30">
        <v>0</v>
      </c>
      <c r="F25" s="29">
        <v>0</v>
      </c>
      <c r="G25" s="29">
        <v>0</v>
      </c>
      <c r="H25" s="29">
        <v>0</v>
      </c>
      <c r="I25" s="29">
        <v>0</v>
      </c>
      <c r="J25" s="29"/>
    </row>
    <row r="26" spans="1:15" s="4" customFormat="1" x14ac:dyDescent="0.25">
      <c r="A26" s="1">
        <f t="shared" si="0"/>
        <v>5</v>
      </c>
      <c r="B26" s="6">
        <v>44221</v>
      </c>
      <c r="C26" s="3">
        <f t="shared" si="1"/>
        <v>0</v>
      </c>
      <c r="D26" s="30">
        <v>0</v>
      </c>
      <c r="E26" s="30">
        <v>0</v>
      </c>
      <c r="F26" s="29">
        <v>0</v>
      </c>
      <c r="G26" s="29">
        <v>0</v>
      </c>
      <c r="H26" s="29">
        <v>0</v>
      </c>
      <c r="I26" s="29">
        <v>0</v>
      </c>
      <c r="J26" s="29"/>
    </row>
    <row r="27" spans="1:15" s="4" customFormat="1" x14ac:dyDescent="0.25">
      <c r="A27" s="1">
        <f t="shared" si="0"/>
        <v>5</v>
      </c>
      <c r="B27" s="6">
        <v>44222</v>
      </c>
      <c r="C27" s="3">
        <f t="shared" si="1"/>
        <v>0</v>
      </c>
      <c r="D27" s="30">
        <v>0</v>
      </c>
      <c r="E27" s="30">
        <v>0</v>
      </c>
      <c r="F27" s="29">
        <v>0</v>
      </c>
      <c r="G27" s="29">
        <v>0</v>
      </c>
      <c r="H27" s="29">
        <v>0</v>
      </c>
      <c r="I27" s="29">
        <v>0</v>
      </c>
      <c r="J27" s="29"/>
    </row>
    <row r="28" spans="1:15" s="4" customFormat="1" x14ac:dyDescent="0.25">
      <c r="A28" s="1">
        <f t="shared" si="0"/>
        <v>5</v>
      </c>
      <c r="B28" s="6">
        <v>44223</v>
      </c>
      <c r="C28" s="3">
        <f t="shared" si="1"/>
        <v>0</v>
      </c>
      <c r="D28" s="30">
        <v>0</v>
      </c>
      <c r="E28" s="30">
        <v>0</v>
      </c>
      <c r="F28" s="29">
        <v>0</v>
      </c>
      <c r="G28" s="29">
        <v>0</v>
      </c>
      <c r="H28" s="29">
        <v>0</v>
      </c>
      <c r="I28" s="29">
        <v>0</v>
      </c>
      <c r="J28" s="29"/>
    </row>
    <row r="29" spans="1:15" s="4" customFormat="1" x14ac:dyDescent="0.25">
      <c r="A29" s="1">
        <f t="shared" si="0"/>
        <v>5</v>
      </c>
      <c r="B29" s="6">
        <v>44224</v>
      </c>
      <c r="C29" s="3">
        <f t="shared" si="1"/>
        <v>0</v>
      </c>
      <c r="D29" s="30">
        <v>0</v>
      </c>
      <c r="E29" s="30">
        <v>0</v>
      </c>
      <c r="F29" s="29">
        <v>0</v>
      </c>
      <c r="G29" s="29">
        <v>0</v>
      </c>
      <c r="H29" s="29">
        <v>0</v>
      </c>
      <c r="I29" s="29">
        <v>0</v>
      </c>
      <c r="J29" s="29"/>
    </row>
    <row r="30" spans="1:15" s="4" customFormat="1" x14ac:dyDescent="0.25">
      <c r="A30" s="1">
        <f t="shared" si="0"/>
        <v>5</v>
      </c>
      <c r="B30" s="6">
        <v>44225</v>
      </c>
      <c r="C30" s="3">
        <f t="shared" si="1"/>
        <v>0</v>
      </c>
      <c r="D30" s="30">
        <v>0</v>
      </c>
      <c r="E30" s="30">
        <v>0</v>
      </c>
      <c r="F30" s="29">
        <v>0</v>
      </c>
      <c r="G30" s="29">
        <v>0</v>
      </c>
      <c r="H30" s="29">
        <v>0</v>
      </c>
      <c r="I30" s="29">
        <v>0</v>
      </c>
      <c r="J30" s="29"/>
    </row>
    <row r="31" spans="1:15" s="4" customFormat="1" x14ac:dyDescent="0.25">
      <c r="A31" s="1">
        <f t="shared" si="0"/>
        <v>5</v>
      </c>
      <c r="B31" s="6">
        <v>44226</v>
      </c>
      <c r="C31" s="3">
        <f t="shared" si="1"/>
        <v>0</v>
      </c>
      <c r="D31" s="30">
        <v>0</v>
      </c>
      <c r="E31" s="30">
        <v>0</v>
      </c>
      <c r="F31" s="29">
        <v>0</v>
      </c>
      <c r="G31" s="29">
        <v>0</v>
      </c>
      <c r="H31" s="29">
        <v>0</v>
      </c>
      <c r="I31" s="29">
        <v>0</v>
      </c>
      <c r="J31" s="29"/>
    </row>
    <row r="32" spans="1:15" s="4" customFormat="1" ht="15.75" thickBot="1" x14ac:dyDescent="0.3">
      <c r="A32" s="1">
        <f t="shared" si="0"/>
        <v>5</v>
      </c>
      <c r="B32" s="6">
        <v>44227</v>
      </c>
      <c r="C32" s="3">
        <f t="shared" si="1"/>
        <v>0</v>
      </c>
      <c r="D32" s="30">
        <v>0</v>
      </c>
      <c r="E32" s="30">
        <v>0</v>
      </c>
      <c r="F32" s="29">
        <v>0</v>
      </c>
      <c r="G32" s="29">
        <v>0</v>
      </c>
      <c r="H32" s="29">
        <v>0</v>
      </c>
      <c r="I32" s="29">
        <v>0</v>
      </c>
      <c r="J32" s="29"/>
      <c r="K32" s="14">
        <f>SUM(C4:C32)</f>
        <v>0</v>
      </c>
    </row>
    <row r="33" spans="1:10" s="4" customFormat="1" ht="15.75" thickTop="1" x14ac:dyDescent="0.25">
      <c r="A33" s="1">
        <f t="shared" si="0"/>
        <v>6</v>
      </c>
      <c r="B33" s="6">
        <v>44228</v>
      </c>
      <c r="C33" s="3">
        <f t="shared" si="1"/>
        <v>0</v>
      </c>
      <c r="D33" s="30">
        <v>0</v>
      </c>
      <c r="E33" s="30">
        <v>0</v>
      </c>
      <c r="F33" s="29">
        <v>0</v>
      </c>
      <c r="G33" s="29">
        <v>0</v>
      </c>
      <c r="H33" s="29">
        <v>0</v>
      </c>
      <c r="I33" s="29">
        <v>0</v>
      </c>
      <c r="J33" s="29"/>
    </row>
    <row r="34" spans="1:10" s="4" customFormat="1" x14ac:dyDescent="0.25">
      <c r="A34" s="1">
        <f t="shared" si="0"/>
        <v>6</v>
      </c>
      <c r="B34" s="6">
        <v>44229</v>
      </c>
      <c r="C34" s="3">
        <f t="shared" si="1"/>
        <v>0</v>
      </c>
      <c r="D34" s="30">
        <v>0</v>
      </c>
      <c r="E34" s="30">
        <v>0</v>
      </c>
      <c r="F34" s="29">
        <v>0</v>
      </c>
      <c r="G34" s="29">
        <v>0</v>
      </c>
      <c r="H34" s="29">
        <v>0</v>
      </c>
      <c r="I34" s="29">
        <v>0</v>
      </c>
      <c r="J34" s="29"/>
    </row>
    <row r="35" spans="1:10" s="4" customFormat="1" x14ac:dyDescent="0.25">
      <c r="A35" s="1">
        <f t="shared" si="0"/>
        <v>6</v>
      </c>
      <c r="B35" s="6">
        <v>44230</v>
      </c>
      <c r="C35" s="3">
        <f t="shared" si="1"/>
        <v>0</v>
      </c>
      <c r="D35" s="30">
        <v>0</v>
      </c>
      <c r="E35" s="30">
        <v>0</v>
      </c>
      <c r="F35" s="29">
        <v>0</v>
      </c>
      <c r="G35" s="29">
        <v>0</v>
      </c>
      <c r="H35" s="29">
        <v>0</v>
      </c>
      <c r="I35" s="29">
        <v>0</v>
      </c>
      <c r="J35" s="29"/>
    </row>
    <row r="36" spans="1:10" s="4" customFormat="1" x14ac:dyDescent="0.25">
      <c r="A36" s="1">
        <f t="shared" si="0"/>
        <v>6</v>
      </c>
      <c r="B36" s="6">
        <v>44231</v>
      </c>
      <c r="C36" s="3">
        <f t="shared" si="1"/>
        <v>0</v>
      </c>
      <c r="D36" s="30">
        <v>0</v>
      </c>
      <c r="E36" s="30">
        <v>0</v>
      </c>
      <c r="F36" s="29">
        <v>0</v>
      </c>
      <c r="G36" s="29">
        <v>0</v>
      </c>
      <c r="H36" s="29">
        <v>0</v>
      </c>
      <c r="I36" s="29">
        <v>0</v>
      </c>
      <c r="J36" s="29"/>
    </row>
    <row r="37" spans="1:10" s="4" customFormat="1" x14ac:dyDescent="0.25">
      <c r="A37" s="1">
        <f t="shared" si="0"/>
        <v>6</v>
      </c>
      <c r="B37" s="6">
        <v>44232</v>
      </c>
      <c r="C37" s="3">
        <f t="shared" si="1"/>
        <v>0</v>
      </c>
      <c r="D37" s="30">
        <v>0</v>
      </c>
      <c r="E37" s="30">
        <v>0</v>
      </c>
      <c r="F37" s="29">
        <v>0</v>
      </c>
      <c r="G37" s="29">
        <v>0</v>
      </c>
      <c r="H37" s="29">
        <v>0</v>
      </c>
      <c r="I37" s="29">
        <v>0</v>
      </c>
      <c r="J37" s="29"/>
    </row>
    <row r="38" spans="1:10" s="4" customFormat="1" x14ac:dyDescent="0.25">
      <c r="A38" s="1">
        <f t="shared" si="0"/>
        <v>6</v>
      </c>
      <c r="B38" s="6">
        <v>44233</v>
      </c>
      <c r="C38" s="3">
        <f t="shared" si="1"/>
        <v>0</v>
      </c>
      <c r="D38" s="30">
        <v>0</v>
      </c>
      <c r="E38" s="30">
        <v>0</v>
      </c>
      <c r="F38" s="29">
        <v>0</v>
      </c>
      <c r="G38" s="29">
        <v>0</v>
      </c>
      <c r="H38" s="29">
        <v>0</v>
      </c>
      <c r="I38" s="29">
        <v>0</v>
      </c>
      <c r="J38" s="29"/>
    </row>
    <row r="39" spans="1:10" s="4" customFormat="1" x14ac:dyDescent="0.25">
      <c r="A39" s="1">
        <f t="shared" si="0"/>
        <v>6</v>
      </c>
      <c r="B39" s="6">
        <v>44234</v>
      </c>
      <c r="C39" s="3">
        <f t="shared" si="1"/>
        <v>0</v>
      </c>
      <c r="D39" s="30">
        <v>0</v>
      </c>
      <c r="E39" s="30">
        <v>0</v>
      </c>
      <c r="F39" s="29">
        <v>0</v>
      </c>
      <c r="G39" s="29">
        <v>0</v>
      </c>
      <c r="H39" s="29">
        <v>0</v>
      </c>
      <c r="I39" s="29">
        <v>0</v>
      </c>
      <c r="J39" s="29"/>
    </row>
    <row r="40" spans="1:10" s="4" customFormat="1" x14ac:dyDescent="0.25">
      <c r="A40" s="1">
        <f t="shared" si="0"/>
        <v>7</v>
      </c>
      <c r="B40" s="6">
        <v>44235</v>
      </c>
      <c r="C40" s="3">
        <f t="shared" si="1"/>
        <v>0</v>
      </c>
      <c r="D40" s="30">
        <v>0</v>
      </c>
      <c r="E40" s="30">
        <v>0</v>
      </c>
      <c r="F40" s="29">
        <v>0</v>
      </c>
      <c r="G40" s="29">
        <v>0</v>
      </c>
      <c r="H40" s="29">
        <v>0</v>
      </c>
      <c r="I40" s="29">
        <v>0</v>
      </c>
      <c r="J40" s="29"/>
    </row>
    <row r="41" spans="1:10" s="4" customFormat="1" x14ac:dyDescent="0.25">
      <c r="A41" s="1">
        <f t="shared" si="0"/>
        <v>7</v>
      </c>
      <c r="B41" s="6">
        <v>44236</v>
      </c>
      <c r="C41" s="3">
        <f t="shared" si="1"/>
        <v>0</v>
      </c>
      <c r="D41" s="30">
        <v>0</v>
      </c>
      <c r="E41" s="30">
        <v>0</v>
      </c>
      <c r="F41" s="29">
        <v>0</v>
      </c>
      <c r="G41" s="29">
        <v>0</v>
      </c>
      <c r="H41" s="29">
        <v>0</v>
      </c>
      <c r="I41" s="29">
        <v>0</v>
      </c>
      <c r="J41" s="29"/>
    </row>
    <row r="42" spans="1:10" s="4" customFormat="1" x14ac:dyDescent="0.25">
      <c r="A42" s="1">
        <f t="shared" si="0"/>
        <v>7</v>
      </c>
      <c r="B42" s="6">
        <v>44237</v>
      </c>
      <c r="C42" s="3">
        <f t="shared" si="1"/>
        <v>0</v>
      </c>
      <c r="D42" s="30">
        <v>0</v>
      </c>
      <c r="E42" s="30">
        <v>0</v>
      </c>
      <c r="F42" s="29">
        <v>0</v>
      </c>
      <c r="G42" s="29">
        <v>0</v>
      </c>
      <c r="H42" s="29">
        <v>0</v>
      </c>
      <c r="I42" s="29">
        <v>0</v>
      </c>
      <c r="J42" s="29"/>
    </row>
    <row r="43" spans="1:10" s="4" customFormat="1" x14ac:dyDescent="0.25">
      <c r="A43" s="1">
        <f t="shared" si="0"/>
        <v>7</v>
      </c>
      <c r="B43" s="6">
        <v>44238</v>
      </c>
      <c r="C43" s="3">
        <f t="shared" si="1"/>
        <v>0</v>
      </c>
      <c r="D43" s="30">
        <v>0</v>
      </c>
      <c r="E43" s="30">
        <v>0</v>
      </c>
      <c r="F43" s="29">
        <v>0</v>
      </c>
      <c r="G43" s="29">
        <v>0</v>
      </c>
      <c r="H43" s="29">
        <v>0</v>
      </c>
      <c r="I43" s="29">
        <v>0</v>
      </c>
      <c r="J43" s="29"/>
    </row>
    <row r="44" spans="1:10" s="4" customFormat="1" x14ac:dyDescent="0.25">
      <c r="A44" s="1">
        <f t="shared" si="0"/>
        <v>7</v>
      </c>
      <c r="B44" s="6">
        <v>44239</v>
      </c>
      <c r="C44" s="3">
        <f t="shared" si="1"/>
        <v>0</v>
      </c>
      <c r="D44" s="30">
        <v>0</v>
      </c>
      <c r="E44" s="30">
        <v>0</v>
      </c>
      <c r="F44" s="29">
        <v>0</v>
      </c>
      <c r="G44" s="29">
        <v>0</v>
      </c>
      <c r="H44" s="29">
        <v>0</v>
      </c>
      <c r="I44" s="29">
        <v>0</v>
      </c>
      <c r="J44" s="29"/>
    </row>
    <row r="45" spans="1:10" s="4" customFormat="1" x14ac:dyDescent="0.25">
      <c r="A45" s="1">
        <f t="shared" si="0"/>
        <v>7</v>
      </c>
      <c r="B45" s="6">
        <v>44240</v>
      </c>
      <c r="C45" s="3">
        <f t="shared" si="1"/>
        <v>0</v>
      </c>
      <c r="D45" s="30">
        <v>0</v>
      </c>
      <c r="E45" s="30">
        <v>0</v>
      </c>
      <c r="F45" s="29">
        <v>0</v>
      </c>
      <c r="G45" s="29">
        <v>0</v>
      </c>
      <c r="H45" s="29">
        <v>0</v>
      </c>
      <c r="I45" s="29">
        <v>0</v>
      </c>
      <c r="J45" s="29"/>
    </row>
    <row r="46" spans="1:10" s="4" customFormat="1" x14ac:dyDescent="0.25">
      <c r="A46" s="1">
        <f t="shared" si="0"/>
        <v>7</v>
      </c>
      <c r="B46" s="6">
        <v>44241</v>
      </c>
      <c r="C46" s="3">
        <f t="shared" si="1"/>
        <v>0</v>
      </c>
      <c r="D46" s="30">
        <v>0</v>
      </c>
      <c r="E46" s="30">
        <v>0</v>
      </c>
      <c r="F46" s="29">
        <v>0</v>
      </c>
      <c r="G46" s="29">
        <v>0</v>
      </c>
      <c r="H46" s="29">
        <v>0</v>
      </c>
      <c r="I46" s="29">
        <v>0</v>
      </c>
      <c r="J46" s="29"/>
    </row>
    <row r="47" spans="1:10" s="4" customFormat="1" x14ac:dyDescent="0.25">
      <c r="A47" s="1">
        <f t="shared" si="0"/>
        <v>8</v>
      </c>
      <c r="B47" s="6">
        <v>44242</v>
      </c>
      <c r="C47" s="3">
        <f t="shared" si="1"/>
        <v>0</v>
      </c>
      <c r="D47" s="30">
        <v>0</v>
      </c>
      <c r="E47" s="30">
        <v>0</v>
      </c>
      <c r="F47" s="29">
        <v>0</v>
      </c>
      <c r="G47" s="29">
        <v>0</v>
      </c>
      <c r="H47" s="29">
        <v>0</v>
      </c>
      <c r="I47" s="29">
        <v>0</v>
      </c>
      <c r="J47" s="29"/>
    </row>
    <row r="48" spans="1:10" s="4" customFormat="1" x14ac:dyDescent="0.25">
      <c r="A48" s="1">
        <f t="shared" si="0"/>
        <v>8</v>
      </c>
      <c r="B48" s="6">
        <v>44243</v>
      </c>
      <c r="C48" s="3">
        <f t="shared" si="1"/>
        <v>0</v>
      </c>
      <c r="D48" s="30">
        <v>0</v>
      </c>
      <c r="E48" s="30">
        <v>0</v>
      </c>
      <c r="F48" s="29">
        <v>0</v>
      </c>
      <c r="G48" s="29">
        <v>0</v>
      </c>
      <c r="H48" s="29">
        <v>0</v>
      </c>
      <c r="I48" s="29">
        <v>0</v>
      </c>
      <c r="J48" s="29"/>
    </row>
    <row r="49" spans="1:11" s="4" customFormat="1" x14ac:dyDescent="0.25">
      <c r="A49" s="1">
        <f t="shared" si="0"/>
        <v>8</v>
      </c>
      <c r="B49" s="6">
        <v>44244</v>
      </c>
      <c r="C49" s="3">
        <f t="shared" si="1"/>
        <v>10.736666666666666</v>
      </c>
      <c r="D49" s="30">
        <v>14</v>
      </c>
      <c r="E49" s="30">
        <v>6.5</v>
      </c>
      <c r="F49" s="29"/>
      <c r="G49" s="29"/>
      <c r="H49" s="29"/>
      <c r="I49" s="29">
        <v>11.71</v>
      </c>
      <c r="J49" s="29"/>
    </row>
    <row r="50" spans="1:11" s="4" customFormat="1" x14ac:dyDescent="0.25">
      <c r="A50" s="1">
        <f t="shared" si="0"/>
        <v>8</v>
      </c>
      <c r="B50" s="6">
        <v>44245</v>
      </c>
      <c r="C50" s="3">
        <f t="shared" si="1"/>
        <v>0</v>
      </c>
      <c r="D50" s="30">
        <v>0</v>
      </c>
      <c r="E50" s="30">
        <v>0</v>
      </c>
      <c r="F50" s="29">
        <v>0</v>
      </c>
      <c r="G50" s="29">
        <v>0</v>
      </c>
      <c r="H50" s="29">
        <v>0</v>
      </c>
      <c r="I50" s="29">
        <v>0</v>
      </c>
      <c r="J50" s="29"/>
    </row>
    <row r="51" spans="1:11" s="4" customFormat="1" x14ac:dyDescent="0.25">
      <c r="A51" s="1">
        <f t="shared" si="0"/>
        <v>8</v>
      </c>
      <c r="B51" s="6">
        <v>44246</v>
      </c>
      <c r="C51" s="3">
        <f t="shared" si="1"/>
        <v>0</v>
      </c>
      <c r="D51" s="30">
        <v>0</v>
      </c>
      <c r="E51" s="30">
        <v>0</v>
      </c>
      <c r="F51" s="29">
        <v>0</v>
      </c>
      <c r="G51" s="29">
        <v>0</v>
      </c>
      <c r="H51" s="29">
        <v>0</v>
      </c>
      <c r="I51" s="29">
        <v>0</v>
      </c>
      <c r="J51" s="29"/>
    </row>
    <row r="52" spans="1:11" s="4" customFormat="1" x14ac:dyDescent="0.25">
      <c r="A52" s="1">
        <f t="shared" si="0"/>
        <v>8</v>
      </c>
      <c r="B52" s="6">
        <v>44247</v>
      </c>
      <c r="C52" s="3">
        <f t="shared" si="1"/>
        <v>0</v>
      </c>
      <c r="D52" s="30">
        <v>0</v>
      </c>
      <c r="E52" s="30">
        <v>0</v>
      </c>
      <c r="F52" s="29">
        <v>0</v>
      </c>
      <c r="G52" s="29">
        <v>0</v>
      </c>
      <c r="H52" s="29">
        <v>0</v>
      </c>
      <c r="I52" s="29">
        <v>0</v>
      </c>
      <c r="J52" s="29"/>
    </row>
    <row r="53" spans="1:11" s="4" customFormat="1" x14ac:dyDescent="0.25">
      <c r="A53" s="1">
        <f t="shared" si="0"/>
        <v>8</v>
      </c>
      <c r="B53" s="6">
        <v>44248</v>
      </c>
      <c r="C53" s="3">
        <f t="shared" si="1"/>
        <v>0</v>
      </c>
      <c r="D53" s="30">
        <v>0</v>
      </c>
      <c r="E53" s="30">
        <v>0</v>
      </c>
      <c r="F53" s="29">
        <v>0</v>
      </c>
      <c r="G53" s="29">
        <v>0</v>
      </c>
      <c r="H53" s="29">
        <v>0</v>
      </c>
      <c r="I53" s="29">
        <v>0</v>
      </c>
      <c r="J53" s="29"/>
    </row>
    <row r="54" spans="1:11" s="4" customFormat="1" x14ac:dyDescent="0.25">
      <c r="A54" s="1">
        <f t="shared" si="0"/>
        <v>9</v>
      </c>
      <c r="B54" s="6">
        <v>44249</v>
      </c>
      <c r="C54" s="3">
        <f t="shared" si="1"/>
        <v>0</v>
      </c>
      <c r="D54" s="30">
        <v>0</v>
      </c>
      <c r="E54" s="30">
        <v>0</v>
      </c>
      <c r="F54" s="29">
        <v>0</v>
      </c>
      <c r="G54" s="29">
        <v>0</v>
      </c>
      <c r="H54" s="29">
        <v>0</v>
      </c>
      <c r="I54" s="29">
        <v>0</v>
      </c>
      <c r="J54" s="29"/>
    </row>
    <row r="55" spans="1:11" s="4" customFormat="1" x14ac:dyDescent="0.25">
      <c r="A55" s="1">
        <f t="shared" si="0"/>
        <v>9</v>
      </c>
      <c r="B55" s="6">
        <v>44250</v>
      </c>
      <c r="C55" s="3">
        <f t="shared" si="1"/>
        <v>0</v>
      </c>
      <c r="D55" s="30">
        <v>0</v>
      </c>
      <c r="E55" s="30">
        <v>0</v>
      </c>
      <c r="F55" s="29">
        <v>0</v>
      </c>
      <c r="G55" s="29">
        <v>0</v>
      </c>
      <c r="H55" s="29">
        <v>0</v>
      </c>
      <c r="I55" s="29">
        <v>0</v>
      </c>
      <c r="J55" s="29"/>
    </row>
    <row r="56" spans="1:11" s="4" customFormat="1" x14ac:dyDescent="0.25">
      <c r="A56" s="1">
        <f t="shared" si="0"/>
        <v>9</v>
      </c>
      <c r="B56" s="6">
        <v>44251</v>
      </c>
      <c r="C56" s="3">
        <f t="shared" si="1"/>
        <v>0</v>
      </c>
      <c r="D56" s="30">
        <v>0</v>
      </c>
      <c r="E56" s="30">
        <v>0</v>
      </c>
      <c r="F56" s="29">
        <v>0</v>
      </c>
      <c r="G56" s="29">
        <v>0</v>
      </c>
      <c r="H56" s="29">
        <v>0</v>
      </c>
      <c r="I56" s="29">
        <v>0</v>
      </c>
      <c r="J56" s="29"/>
    </row>
    <row r="57" spans="1:11" s="4" customFormat="1" x14ac:dyDescent="0.25">
      <c r="A57" s="1">
        <f t="shared" si="0"/>
        <v>9</v>
      </c>
      <c r="B57" s="6">
        <v>44252</v>
      </c>
      <c r="C57" s="3">
        <f t="shared" si="1"/>
        <v>0</v>
      </c>
      <c r="D57" s="30">
        <v>0</v>
      </c>
      <c r="E57" s="30">
        <v>0</v>
      </c>
      <c r="F57" s="29">
        <v>0</v>
      </c>
      <c r="G57" s="29">
        <v>0</v>
      </c>
      <c r="H57" s="29">
        <v>0</v>
      </c>
      <c r="I57" s="29">
        <v>0</v>
      </c>
      <c r="J57" s="29"/>
    </row>
    <row r="58" spans="1:11" s="4" customFormat="1" x14ac:dyDescent="0.25">
      <c r="A58" s="1"/>
      <c r="B58" s="6">
        <v>44253</v>
      </c>
      <c r="C58" s="3">
        <f t="shared" si="1"/>
        <v>0</v>
      </c>
      <c r="D58" s="30">
        <v>0</v>
      </c>
      <c r="E58" s="30">
        <v>0</v>
      </c>
      <c r="F58" s="29">
        <v>0</v>
      </c>
      <c r="G58" s="29">
        <v>0</v>
      </c>
      <c r="H58" s="29">
        <v>0</v>
      </c>
      <c r="I58" s="29">
        <v>0</v>
      </c>
      <c r="J58" s="29"/>
    </row>
    <row r="59" spans="1:11" s="4" customFormat="1" x14ac:dyDescent="0.25">
      <c r="A59" s="1">
        <f t="shared" si="0"/>
        <v>9</v>
      </c>
      <c r="B59" s="6">
        <v>44254</v>
      </c>
      <c r="C59" s="3">
        <f t="shared" si="1"/>
        <v>0</v>
      </c>
      <c r="D59" s="30">
        <v>0</v>
      </c>
      <c r="E59" s="30">
        <v>0</v>
      </c>
      <c r="F59" s="29">
        <v>0</v>
      </c>
      <c r="G59" s="29">
        <v>0</v>
      </c>
      <c r="H59" s="29">
        <v>0</v>
      </c>
      <c r="I59" s="29">
        <v>0</v>
      </c>
      <c r="J59" s="29"/>
    </row>
    <row r="60" spans="1:11" s="14" customFormat="1" ht="15.75" thickBot="1" x14ac:dyDescent="0.3">
      <c r="A60" s="13">
        <f t="shared" si="0"/>
        <v>9</v>
      </c>
      <c r="B60" s="6">
        <v>44255</v>
      </c>
      <c r="C60" s="3">
        <f t="shared" si="1"/>
        <v>0</v>
      </c>
      <c r="D60" s="30">
        <v>0</v>
      </c>
      <c r="E60" s="30">
        <v>0</v>
      </c>
      <c r="F60" s="29">
        <v>0</v>
      </c>
      <c r="G60" s="29">
        <v>0</v>
      </c>
      <c r="H60" s="29">
        <v>0</v>
      </c>
      <c r="I60" s="29">
        <v>0</v>
      </c>
      <c r="J60" s="29"/>
      <c r="K60" s="14">
        <f>SUM(C33:C60)</f>
        <v>10.736666666666666</v>
      </c>
    </row>
    <row r="61" spans="1:11" s="4" customFormat="1" ht="15.75" thickTop="1" x14ac:dyDescent="0.25">
      <c r="A61" s="1">
        <f t="shared" si="0"/>
        <v>10</v>
      </c>
      <c r="B61" s="6">
        <v>44256</v>
      </c>
      <c r="C61" s="3">
        <f t="shared" si="1"/>
        <v>0</v>
      </c>
      <c r="D61" s="30">
        <v>0</v>
      </c>
      <c r="E61" s="30">
        <v>0</v>
      </c>
      <c r="F61" s="29">
        <v>0</v>
      </c>
      <c r="G61" s="29">
        <v>0</v>
      </c>
      <c r="H61" s="29">
        <v>0</v>
      </c>
      <c r="I61" s="29">
        <v>0</v>
      </c>
      <c r="J61" s="29"/>
    </row>
    <row r="62" spans="1:11" s="4" customFormat="1" x14ac:dyDescent="0.25">
      <c r="A62" s="1">
        <f t="shared" si="0"/>
        <v>10</v>
      </c>
      <c r="B62" s="6">
        <v>44257</v>
      </c>
      <c r="C62" s="3">
        <f t="shared" si="1"/>
        <v>0</v>
      </c>
      <c r="D62" s="1">
        <v>0</v>
      </c>
      <c r="E62" s="1">
        <v>0</v>
      </c>
      <c r="F62" s="4">
        <v>0</v>
      </c>
      <c r="G62" s="4">
        <v>0</v>
      </c>
      <c r="H62" s="4">
        <v>0</v>
      </c>
      <c r="I62" s="4">
        <v>0</v>
      </c>
    </row>
    <row r="63" spans="1:11" s="4" customFormat="1" x14ac:dyDescent="0.25">
      <c r="A63" s="1">
        <f t="shared" si="0"/>
        <v>10</v>
      </c>
      <c r="B63" s="6">
        <v>44258</v>
      </c>
      <c r="C63" s="3">
        <f t="shared" si="1"/>
        <v>0</v>
      </c>
      <c r="D63" s="1">
        <v>0</v>
      </c>
      <c r="E63" s="1">
        <v>0</v>
      </c>
      <c r="F63" s="4">
        <v>0</v>
      </c>
      <c r="G63" s="4">
        <v>0</v>
      </c>
      <c r="H63" s="4">
        <v>0</v>
      </c>
      <c r="I63" s="4">
        <v>0</v>
      </c>
    </row>
    <row r="64" spans="1:11" s="4" customFormat="1" x14ac:dyDescent="0.25">
      <c r="A64" s="1">
        <f t="shared" si="0"/>
        <v>10</v>
      </c>
      <c r="B64" s="6">
        <v>44259</v>
      </c>
      <c r="C64" s="3">
        <f t="shared" si="1"/>
        <v>0</v>
      </c>
      <c r="D64" s="1">
        <v>0</v>
      </c>
      <c r="E64" s="1">
        <v>0</v>
      </c>
      <c r="F64" s="4">
        <v>0</v>
      </c>
      <c r="G64" s="4">
        <v>0</v>
      </c>
      <c r="H64" s="4">
        <v>0</v>
      </c>
      <c r="I64" s="4">
        <v>0</v>
      </c>
    </row>
    <row r="65" spans="1:9" s="4" customFormat="1" x14ac:dyDescent="0.25">
      <c r="A65" s="1">
        <f t="shared" si="0"/>
        <v>10</v>
      </c>
      <c r="B65" s="6">
        <v>44260</v>
      </c>
      <c r="C65" s="3">
        <f t="shared" si="1"/>
        <v>0</v>
      </c>
      <c r="D65" s="1">
        <v>0</v>
      </c>
      <c r="E65" s="1">
        <v>0</v>
      </c>
      <c r="F65" s="4">
        <v>0</v>
      </c>
      <c r="G65" s="4">
        <v>0</v>
      </c>
      <c r="H65" s="4">
        <v>0</v>
      </c>
      <c r="I65" s="4">
        <v>0</v>
      </c>
    </row>
    <row r="66" spans="1:9" s="4" customFormat="1" x14ac:dyDescent="0.25">
      <c r="A66" s="1">
        <f t="shared" ref="A66:A129" si="3">WEEKNUM($B66,2)</f>
        <v>10</v>
      </c>
      <c r="B66" s="6">
        <v>44261</v>
      </c>
      <c r="C66" s="3">
        <f t="shared" si="1"/>
        <v>0</v>
      </c>
      <c r="D66" s="1">
        <v>0</v>
      </c>
      <c r="E66" s="1">
        <v>0</v>
      </c>
      <c r="F66" s="4">
        <v>0</v>
      </c>
      <c r="G66" s="4">
        <v>0</v>
      </c>
      <c r="H66" s="4">
        <v>0</v>
      </c>
      <c r="I66" s="4">
        <v>0</v>
      </c>
    </row>
    <row r="67" spans="1:9" s="4" customFormat="1" x14ac:dyDescent="0.25">
      <c r="A67" s="1">
        <f t="shared" si="3"/>
        <v>10</v>
      </c>
      <c r="B67" s="6">
        <v>44262</v>
      </c>
      <c r="C67" s="3">
        <f t="shared" ref="C67:C130" si="4">AVERAGE(D67:J67)</f>
        <v>0</v>
      </c>
      <c r="D67" s="1">
        <v>0</v>
      </c>
      <c r="E67" s="1">
        <v>0</v>
      </c>
      <c r="F67" s="4">
        <v>0</v>
      </c>
      <c r="G67" s="4">
        <v>0</v>
      </c>
      <c r="H67" s="4">
        <v>0</v>
      </c>
      <c r="I67" s="4">
        <v>0</v>
      </c>
    </row>
    <row r="68" spans="1:9" s="4" customFormat="1" x14ac:dyDescent="0.25">
      <c r="A68" s="1">
        <f t="shared" si="3"/>
        <v>11</v>
      </c>
      <c r="B68" s="6">
        <v>44263</v>
      </c>
      <c r="C68" s="3">
        <f t="shared" si="4"/>
        <v>0</v>
      </c>
      <c r="D68" s="1">
        <v>0</v>
      </c>
      <c r="E68" s="1">
        <v>0</v>
      </c>
      <c r="F68" s="4">
        <v>0</v>
      </c>
      <c r="G68" s="4">
        <v>0</v>
      </c>
      <c r="H68" s="4">
        <v>0</v>
      </c>
      <c r="I68" s="4">
        <v>0</v>
      </c>
    </row>
    <row r="69" spans="1:9" s="4" customFormat="1" x14ac:dyDescent="0.25">
      <c r="A69" s="1">
        <f t="shared" si="3"/>
        <v>11</v>
      </c>
      <c r="B69" s="6">
        <v>44264</v>
      </c>
      <c r="C69" s="3">
        <f t="shared" si="4"/>
        <v>0</v>
      </c>
      <c r="D69" s="1">
        <v>0</v>
      </c>
      <c r="E69" s="1">
        <v>0</v>
      </c>
      <c r="F69" s="4">
        <v>0</v>
      </c>
      <c r="G69" s="4">
        <v>0</v>
      </c>
      <c r="H69" s="4">
        <v>0</v>
      </c>
      <c r="I69" s="4">
        <v>0</v>
      </c>
    </row>
    <row r="70" spans="1:9" s="4" customFormat="1" x14ac:dyDescent="0.25">
      <c r="A70" s="1">
        <f t="shared" si="3"/>
        <v>11</v>
      </c>
      <c r="B70" s="6">
        <v>44265</v>
      </c>
      <c r="C70" s="3">
        <f t="shared" si="4"/>
        <v>0</v>
      </c>
      <c r="D70" s="1">
        <v>0</v>
      </c>
      <c r="E70" s="1">
        <v>0</v>
      </c>
      <c r="F70" s="4">
        <v>0</v>
      </c>
      <c r="G70" s="4">
        <v>0</v>
      </c>
      <c r="H70" s="4">
        <v>0</v>
      </c>
      <c r="I70" s="4">
        <v>0</v>
      </c>
    </row>
    <row r="71" spans="1:9" s="4" customFormat="1" x14ac:dyDescent="0.25">
      <c r="A71" s="1">
        <f t="shared" si="3"/>
        <v>11</v>
      </c>
      <c r="B71" s="6">
        <v>44266</v>
      </c>
      <c r="C71" s="3">
        <f t="shared" si="4"/>
        <v>0</v>
      </c>
      <c r="D71" s="1">
        <v>0</v>
      </c>
      <c r="E71" s="1">
        <v>0</v>
      </c>
      <c r="F71" s="4">
        <v>0</v>
      </c>
      <c r="G71" s="4">
        <v>0</v>
      </c>
      <c r="H71" s="4">
        <v>0</v>
      </c>
      <c r="I71" s="4">
        <v>0</v>
      </c>
    </row>
    <row r="72" spans="1:9" s="4" customFormat="1" x14ac:dyDescent="0.25">
      <c r="A72" s="1">
        <f t="shared" si="3"/>
        <v>11</v>
      </c>
      <c r="B72" s="6">
        <v>44267</v>
      </c>
      <c r="C72" s="3">
        <f t="shared" si="4"/>
        <v>0</v>
      </c>
      <c r="D72" s="1">
        <v>0</v>
      </c>
      <c r="E72" s="1">
        <v>0</v>
      </c>
      <c r="F72" s="4">
        <v>0</v>
      </c>
      <c r="G72" s="4">
        <v>0</v>
      </c>
      <c r="H72" s="4">
        <v>0</v>
      </c>
      <c r="I72" s="4">
        <v>0</v>
      </c>
    </row>
    <row r="73" spans="1:9" s="4" customFormat="1" x14ac:dyDescent="0.25">
      <c r="A73" s="1">
        <f t="shared" si="3"/>
        <v>11</v>
      </c>
      <c r="B73" s="6">
        <v>44268</v>
      </c>
      <c r="C73" s="3">
        <f t="shared" si="4"/>
        <v>0</v>
      </c>
      <c r="D73" s="1">
        <v>0</v>
      </c>
      <c r="E73" s="1">
        <v>0</v>
      </c>
      <c r="F73" s="4">
        <v>0</v>
      </c>
      <c r="G73" s="4">
        <v>0</v>
      </c>
      <c r="H73" s="4">
        <v>0</v>
      </c>
      <c r="I73" s="4">
        <v>0</v>
      </c>
    </row>
    <row r="74" spans="1:9" s="4" customFormat="1" x14ac:dyDescent="0.25">
      <c r="A74" s="1">
        <f t="shared" si="3"/>
        <v>11</v>
      </c>
      <c r="B74" s="6">
        <v>44269</v>
      </c>
      <c r="C74" s="3">
        <f t="shared" si="4"/>
        <v>0</v>
      </c>
      <c r="D74" s="1">
        <v>0</v>
      </c>
      <c r="E74" s="1">
        <v>0</v>
      </c>
      <c r="F74" s="4">
        <v>0</v>
      </c>
      <c r="G74" s="4">
        <v>0</v>
      </c>
      <c r="H74" s="4">
        <v>0</v>
      </c>
      <c r="I74" s="4">
        <v>0</v>
      </c>
    </row>
    <row r="75" spans="1:9" s="4" customFormat="1" x14ac:dyDescent="0.25">
      <c r="A75" s="1">
        <f t="shared" si="3"/>
        <v>12</v>
      </c>
      <c r="B75" s="6">
        <v>44270</v>
      </c>
      <c r="C75" s="3">
        <f t="shared" si="4"/>
        <v>0</v>
      </c>
      <c r="D75" s="1">
        <v>0</v>
      </c>
      <c r="E75" s="1">
        <v>0</v>
      </c>
      <c r="F75" s="4">
        <v>0</v>
      </c>
      <c r="G75" s="4">
        <v>0</v>
      </c>
      <c r="H75" s="4">
        <v>0</v>
      </c>
      <c r="I75" s="4">
        <v>0</v>
      </c>
    </row>
    <row r="76" spans="1:9" s="4" customFormat="1" x14ac:dyDescent="0.25">
      <c r="A76" s="1">
        <f t="shared" si="3"/>
        <v>12</v>
      </c>
      <c r="B76" s="6">
        <v>44271</v>
      </c>
      <c r="C76" s="3">
        <f t="shared" si="4"/>
        <v>0</v>
      </c>
      <c r="D76" s="1">
        <v>0</v>
      </c>
      <c r="E76" s="1">
        <v>0</v>
      </c>
      <c r="F76" s="4">
        <v>0</v>
      </c>
      <c r="G76" s="4">
        <v>0</v>
      </c>
      <c r="H76" s="4">
        <v>0</v>
      </c>
      <c r="I76" s="4">
        <v>0</v>
      </c>
    </row>
    <row r="77" spans="1:9" s="4" customFormat="1" x14ac:dyDescent="0.25">
      <c r="A77" s="1">
        <f t="shared" si="3"/>
        <v>12</v>
      </c>
      <c r="B77" s="6">
        <v>44272</v>
      </c>
      <c r="C77" s="3">
        <f t="shared" si="4"/>
        <v>0</v>
      </c>
      <c r="D77" s="1">
        <v>0</v>
      </c>
      <c r="E77" s="1">
        <v>0</v>
      </c>
      <c r="F77" s="4">
        <v>0</v>
      </c>
      <c r="G77" s="4">
        <v>0</v>
      </c>
      <c r="H77" s="4">
        <v>0</v>
      </c>
      <c r="I77" s="4">
        <v>0</v>
      </c>
    </row>
    <row r="78" spans="1:9" s="4" customFormat="1" x14ac:dyDescent="0.25">
      <c r="A78" s="1">
        <f t="shared" si="3"/>
        <v>12</v>
      </c>
      <c r="B78" s="6">
        <v>44273</v>
      </c>
      <c r="C78" s="3">
        <f t="shared" si="4"/>
        <v>0</v>
      </c>
      <c r="D78" s="1">
        <v>0</v>
      </c>
      <c r="E78" s="1">
        <v>0</v>
      </c>
      <c r="F78" s="4">
        <v>0</v>
      </c>
      <c r="G78" s="4">
        <v>0</v>
      </c>
      <c r="H78" s="4">
        <v>0</v>
      </c>
      <c r="I78" s="4">
        <v>0</v>
      </c>
    </row>
    <row r="79" spans="1:9" s="4" customFormat="1" x14ac:dyDescent="0.25">
      <c r="A79" s="1">
        <f t="shared" si="3"/>
        <v>12</v>
      </c>
      <c r="B79" s="6">
        <v>44274</v>
      </c>
      <c r="C79" s="3">
        <f t="shared" si="4"/>
        <v>0</v>
      </c>
      <c r="D79" s="1">
        <v>0</v>
      </c>
      <c r="E79" s="1">
        <v>0</v>
      </c>
      <c r="F79" s="4">
        <v>0</v>
      </c>
      <c r="G79" s="4">
        <v>0</v>
      </c>
      <c r="H79" s="4">
        <v>0</v>
      </c>
      <c r="I79" s="4">
        <v>0</v>
      </c>
    </row>
    <row r="80" spans="1:9" s="4" customFormat="1" x14ac:dyDescent="0.25">
      <c r="A80" s="1">
        <f t="shared" si="3"/>
        <v>12</v>
      </c>
      <c r="B80" s="6">
        <v>44275</v>
      </c>
      <c r="C80" s="3">
        <f t="shared" si="4"/>
        <v>0</v>
      </c>
      <c r="D80" s="1">
        <v>0</v>
      </c>
      <c r="E80" s="1">
        <v>0</v>
      </c>
      <c r="F80" s="4">
        <v>0</v>
      </c>
      <c r="G80" s="4">
        <v>0</v>
      </c>
      <c r="H80" s="4">
        <v>0</v>
      </c>
      <c r="I80" s="4">
        <v>0</v>
      </c>
    </row>
    <row r="81" spans="1:11" s="4" customFormat="1" x14ac:dyDescent="0.25">
      <c r="A81" s="1">
        <f t="shared" si="3"/>
        <v>12</v>
      </c>
      <c r="B81" s="6">
        <v>44276</v>
      </c>
      <c r="C81" s="3">
        <f t="shared" si="4"/>
        <v>0</v>
      </c>
      <c r="D81" s="1">
        <v>0</v>
      </c>
      <c r="E81" s="1">
        <v>0</v>
      </c>
      <c r="F81" s="4">
        <v>0</v>
      </c>
      <c r="G81" s="4">
        <v>0</v>
      </c>
      <c r="H81" s="4">
        <v>0</v>
      </c>
      <c r="I81" s="4">
        <v>0</v>
      </c>
    </row>
    <row r="82" spans="1:11" s="4" customFormat="1" x14ac:dyDescent="0.25">
      <c r="A82" s="1">
        <f t="shared" si="3"/>
        <v>13</v>
      </c>
      <c r="B82" s="6">
        <v>44277</v>
      </c>
      <c r="C82" s="3">
        <f t="shared" si="4"/>
        <v>3.8333333333333335</v>
      </c>
      <c r="D82" s="1">
        <v>7</v>
      </c>
      <c r="E82" s="1">
        <v>0</v>
      </c>
      <c r="I82" s="4">
        <v>4.5</v>
      </c>
    </row>
    <row r="83" spans="1:11" s="4" customFormat="1" x14ac:dyDescent="0.25">
      <c r="A83" s="1">
        <f t="shared" si="3"/>
        <v>13</v>
      </c>
      <c r="B83" s="6">
        <v>44278</v>
      </c>
      <c r="C83" s="3">
        <f t="shared" si="4"/>
        <v>0</v>
      </c>
      <c r="D83" s="1">
        <v>0</v>
      </c>
      <c r="E83" s="1">
        <v>0</v>
      </c>
      <c r="F83" s="4">
        <v>0</v>
      </c>
      <c r="G83" s="4">
        <v>0</v>
      </c>
      <c r="H83" s="4">
        <v>0</v>
      </c>
      <c r="I83" s="4">
        <v>0</v>
      </c>
    </row>
    <row r="84" spans="1:11" s="4" customFormat="1" x14ac:dyDescent="0.25">
      <c r="A84" s="1">
        <f t="shared" si="3"/>
        <v>13</v>
      </c>
      <c r="B84" s="6">
        <v>44279</v>
      </c>
      <c r="C84" s="3">
        <f t="shared" si="4"/>
        <v>0</v>
      </c>
      <c r="D84" s="1">
        <v>0</v>
      </c>
      <c r="E84" s="1">
        <v>0</v>
      </c>
      <c r="F84" s="4">
        <v>0</v>
      </c>
      <c r="G84" s="4">
        <v>0</v>
      </c>
      <c r="H84" s="4">
        <v>0</v>
      </c>
      <c r="I84" s="4">
        <v>0</v>
      </c>
    </row>
    <row r="85" spans="1:11" s="4" customFormat="1" x14ac:dyDescent="0.25">
      <c r="A85" s="1">
        <f t="shared" si="3"/>
        <v>13</v>
      </c>
      <c r="B85" s="6">
        <v>44280</v>
      </c>
      <c r="C85" s="3">
        <f t="shared" si="4"/>
        <v>0</v>
      </c>
      <c r="D85" s="1">
        <v>0</v>
      </c>
      <c r="E85" s="1">
        <v>0</v>
      </c>
      <c r="F85" s="4">
        <v>0</v>
      </c>
      <c r="G85" s="4">
        <v>0</v>
      </c>
      <c r="H85" s="4">
        <v>0</v>
      </c>
      <c r="I85" s="4">
        <v>0</v>
      </c>
    </row>
    <row r="86" spans="1:11" s="4" customFormat="1" x14ac:dyDescent="0.25">
      <c r="A86" s="1">
        <f t="shared" si="3"/>
        <v>13</v>
      </c>
      <c r="B86" s="6">
        <v>44281</v>
      </c>
      <c r="C86" s="3">
        <f t="shared" si="4"/>
        <v>0</v>
      </c>
      <c r="D86" s="1">
        <v>0</v>
      </c>
      <c r="E86" s="1">
        <v>0</v>
      </c>
      <c r="F86" s="4">
        <v>0</v>
      </c>
      <c r="G86" s="4">
        <v>0</v>
      </c>
      <c r="H86" s="4">
        <v>0</v>
      </c>
      <c r="I86" s="4">
        <v>0</v>
      </c>
    </row>
    <row r="87" spans="1:11" s="4" customFormat="1" x14ac:dyDescent="0.25">
      <c r="A87" s="1">
        <f t="shared" si="3"/>
        <v>13</v>
      </c>
      <c r="B87" s="6">
        <v>44282</v>
      </c>
      <c r="C87" s="3">
        <f t="shared" si="4"/>
        <v>0</v>
      </c>
      <c r="D87" s="1">
        <v>0</v>
      </c>
      <c r="E87" s="1">
        <v>0</v>
      </c>
      <c r="F87" s="4">
        <v>0</v>
      </c>
      <c r="G87" s="4">
        <v>0</v>
      </c>
      <c r="H87" s="4">
        <v>0</v>
      </c>
      <c r="I87" s="4">
        <v>0</v>
      </c>
    </row>
    <row r="88" spans="1:11" s="4" customFormat="1" x14ac:dyDescent="0.25">
      <c r="A88" s="1">
        <f t="shared" si="3"/>
        <v>13</v>
      </c>
      <c r="B88" s="6">
        <v>44283</v>
      </c>
      <c r="C88" s="3">
        <f t="shared" si="4"/>
        <v>0</v>
      </c>
      <c r="D88" s="1">
        <v>0</v>
      </c>
      <c r="E88" s="1">
        <v>0</v>
      </c>
      <c r="F88" s="4">
        <v>0</v>
      </c>
      <c r="G88" s="4">
        <v>0</v>
      </c>
      <c r="H88" s="4">
        <v>0</v>
      </c>
      <c r="I88" s="4">
        <v>0</v>
      </c>
    </row>
    <row r="89" spans="1:11" s="4" customFormat="1" x14ac:dyDescent="0.25">
      <c r="A89" s="1">
        <f t="shared" si="3"/>
        <v>14</v>
      </c>
      <c r="B89" s="6">
        <v>44284</v>
      </c>
      <c r="C89" s="3">
        <f t="shared" si="4"/>
        <v>0</v>
      </c>
      <c r="D89" s="1">
        <v>0</v>
      </c>
      <c r="E89" s="1">
        <v>0</v>
      </c>
      <c r="F89" s="4">
        <v>0</v>
      </c>
      <c r="G89" s="4">
        <v>0</v>
      </c>
      <c r="H89" s="4">
        <v>0</v>
      </c>
      <c r="I89" s="4">
        <v>0</v>
      </c>
    </row>
    <row r="90" spans="1:11" s="4" customFormat="1" x14ac:dyDescent="0.25">
      <c r="A90" s="18"/>
      <c r="B90" s="6">
        <v>44285</v>
      </c>
      <c r="C90" s="3">
        <f t="shared" si="4"/>
        <v>0</v>
      </c>
      <c r="D90" s="1">
        <v>0</v>
      </c>
      <c r="E90" s="1">
        <v>0</v>
      </c>
      <c r="F90" s="4">
        <v>0</v>
      </c>
      <c r="G90" s="4">
        <v>0</v>
      </c>
      <c r="H90" s="4">
        <v>0</v>
      </c>
      <c r="I90" s="4">
        <v>0</v>
      </c>
    </row>
    <row r="91" spans="1:11" s="14" customFormat="1" ht="15.75" thickBot="1" x14ac:dyDescent="0.3">
      <c r="A91" s="13">
        <f t="shared" si="3"/>
        <v>14</v>
      </c>
      <c r="B91" s="6">
        <v>44286</v>
      </c>
      <c r="C91" s="3">
        <f t="shared" si="4"/>
        <v>0</v>
      </c>
      <c r="D91" s="1">
        <v>0</v>
      </c>
      <c r="E91" s="1">
        <v>0</v>
      </c>
      <c r="F91" s="4">
        <v>0</v>
      </c>
      <c r="G91" s="4">
        <v>0</v>
      </c>
      <c r="H91" s="4">
        <v>0</v>
      </c>
      <c r="I91" s="4">
        <v>0</v>
      </c>
      <c r="J91" s="4"/>
      <c r="K91" s="14">
        <f>SUM(C63:C91)</f>
        <v>3.8333333333333335</v>
      </c>
    </row>
    <row r="92" spans="1:11" s="4" customFormat="1" ht="15.75" thickTop="1" x14ac:dyDescent="0.25">
      <c r="A92" s="1">
        <f t="shared" si="3"/>
        <v>14</v>
      </c>
      <c r="B92" s="6">
        <v>44287</v>
      </c>
      <c r="C92" s="3">
        <f t="shared" si="4"/>
        <v>0</v>
      </c>
      <c r="D92" s="1">
        <v>0</v>
      </c>
      <c r="E92" s="1">
        <v>0</v>
      </c>
      <c r="F92" s="4">
        <v>0</v>
      </c>
      <c r="G92" s="4">
        <v>0</v>
      </c>
      <c r="H92" s="4">
        <v>0</v>
      </c>
      <c r="I92" s="4">
        <v>0</v>
      </c>
    </row>
    <row r="93" spans="1:11" s="4" customFormat="1" x14ac:dyDescent="0.25">
      <c r="A93" s="1">
        <f t="shared" si="3"/>
        <v>14</v>
      </c>
      <c r="B93" s="6">
        <v>44288</v>
      </c>
      <c r="C93" s="3">
        <f t="shared" si="4"/>
        <v>0</v>
      </c>
      <c r="D93" s="1">
        <v>0</v>
      </c>
      <c r="E93" s="1">
        <v>0</v>
      </c>
      <c r="F93" s="4">
        <v>0</v>
      </c>
      <c r="G93" s="4">
        <v>0</v>
      </c>
      <c r="H93" s="4">
        <v>0</v>
      </c>
      <c r="I93" s="4">
        <v>0</v>
      </c>
    </row>
    <row r="94" spans="1:11" s="4" customFormat="1" x14ac:dyDescent="0.25">
      <c r="A94" s="1">
        <f t="shared" si="3"/>
        <v>14</v>
      </c>
      <c r="B94" s="6">
        <v>44289</v>
      </c>
      <c r="C94" s="3">
        <f t="shared" si="4"/>
        <v>0</v>
      </c>
      <c r="D94" s="1">
        <v>0</v>
      </c>
      <c r="E94" s="1">
        <v>0</v>
      </c>
      <c r="F94" s="4">
        <v>0</v>
      </c>
      <c r="G94" s="4">
        <v>0</v>
      </c>
      <c r="H94" s="4">
        <v>0</v>
      </c>
      <c r="I94" s="4">
        <v>0</v>
      </c>
    </row>
    <row r="95" spans="1:11" s="4" customFormat="1" x14ac:dyDescent="0.25">
      <c r="A95" s="1">
        <f t="shared" si="3"/>
        <v>14</v>
      </c>
      <c r="B95" s="6">
        <v>44290</v>
      </c>
      <c r="C95" s="3">
        <f t="shared" si="4"/>
        <v>0</v>
      </c>
      <c r="D95" s="1">
        <v>0</v>
      </c>
      <c r="E95" s="1">
        <v>0</v>
      </c>
      <c r="F95" s="4">
        <v>0</v>
      </c>
      <c r="G95" s="4">
        <v>0</v>
      </c>
      <c r="H95" s="4">
        <v>0</v>
      </c>
      <c r="I95" s="4">
        <v>0</v>
      </c>
    </row>
    <row r="96" spans="1:11" s="4" customFormat="1" x14ac:dyDescent="0.25">
      <c r="A96" s="1">
        <f t="shared" si="3"/>
        <v>15</v>
      </c>
      <c r="B96" s="6">
        <v>44291</v>
      </c>
      <c r="C96" s="3">
        <f t="shared" si="4"/>
        <v>0</v>
      </c>
      <c r="D96" s="1">
        <v>0</v>
      </c>
      <c r="E96" s="1">
        <v>0</v>
      </c>
      <c r="F96" s="4">
        <v>0</v>
      </c>
      <c r="G96" s="4">
        <v>0</v>
      </c>
      <c r="H96" s="4">
        <v>0</v>
      </c>
      <c r="I96" s="4">
        <v>0</v>
      </c>
    </row>
    <row r="97" spans="1:9" s="4" customFormat="1" x14ac:dyDescent="0.25">
      <c r="A97" s="1">
        <f t="shared" si="3"/>
        <v>15</v>
      </c>
      <c r="B97" s="6">
        <v>44292</v>
      </c>
      <c r="C97" s="3">
        <f t="shared" si="4"/>
        <v>0</v>
      </c>
      <c r="D97" s="1">
        <v>0</v>
      </c>
      <c r="E97" s="1">
        <v>0</v>
      </c>
      <c r="F97" s="4">
        <v>0</v>
      </c>
      <c r="G97" s="4">
        <v>0</v>
      </c>
      <c r="H97" s="4">
        <v>0</v>
      </c>
      <c r="I97" s="4">
        <v>0</v>
      </c>
    </row>
    <row r="98" spans="1:9" s="4" customFormat="1" x14ac:dyDescent="0.25">
      <c r="A98" s="1">
        <f t="shared" si="3"/>
        <v>15</v>
      </c>
      <c r="B98" s="6">
        <v>44293</v>
      </c>
      <c r="C98" s="3">
        <f t="shared" si="4"/>
        <v>0</v>
      </c>
      <c r="D98" s="1">
        <v>0</v>
      </c>
      <c r="E98" s="1">
        <v>0</v>
      </c>
      <c r="F98" s="4">
        <v>0</v>
      </c>
      <c r="G98" s="4">
        <v>0</v>
      </c>
      <c r="H98" s="4">
        <v>0</v>
      </c>
      <c r="I98" s="4">
        <v>0</v>
      </c>
    </row>
    <row r="99" spans="1:9" s="4" customFormat="1" x14ac:dyDescent="0.25">
      <c r="A99" s="1">
        <f t="shared" si="3"/>
        <v>15</v>
      </c>
      <c r="B99" s="6">
        <v>44294</v>
      </c>
      <c r="C99" s="3">
        <f t="shared" si="4"/>
        <v>0</v>
      </c>
      <c r="D99" s="1">
        <v>0</v>
      </c>
      <c r="E99" s="1">
        <v>0</v>
      </c>
      <c r="F99" s="4">
        <v>0</v>
      </c>
      <c r="G99" s="4">
        <v>0</v>
      </c>
      <c r="H99" s="4">
        <v>0</v>
      </c>
      <c r="I99" s="4">
        <v>0</v>
      </c>
    </row>
    <row r="100" spans="1:9" s="4" customFormat="1" x14ac:dyDescent="0.25">
      <c r="A100" s="1">
        <f t="shared" si="3"/>
        <v>15</v>
      </c>
      <c r="B100" s="6">
        <v>44295</v>
      </c>
      <c r="C100" s="3">
        <f t="shared" si="4"/>
        <v>0</v>
      </c>
      <c r="D100" s="1">
        <v>0</v>
      </c>
      <c r="E100" s="1">
        <v>0</v>
      </c>
      <c r="F100" s="4">
        <v>0</v>
      </c>
      <c r="G100" s="4">
        <v>0</v>
      </c>
      <c r="H100" s="4">
        <v>0</v>
      </c>
      <c r="I100" s="4">
        <v>0</v>
      </c>
    </row>
    <row r="101" spans="1:9" s="4" customFormat="1" x14ac:dyDescent="0.25">
      <c r="A101" s="1">
        <f t="shared" si="3"/>
        <v>15</v>
      </c>
      <c r="B101" s="6">
        <v>44296</v>
      </c>
      <c r="C101" s="3">
        <f t="shared" si="4"/>
        <v>0</v>
      </c>
      <c r="D101" s="1">
        <v>0</v>
      </c>
      <c r="E101" s="1">
        <v>0</v>
      </c>
      <c r="F101" s="4">
        <v>0</v>
      </c>
      <c r="G101" s="4">
        <v>0</v>
      </c>
      <c r="H101" s="4">
        <v>0</v>
      </c>
      <c r="I101" s="4">
        <v>0</v>
      </c>
    </row>
    <row r="102" spans="1:9" s="4" customFormat="1" x14ac:dyDescent="0.25">
      <c r="A102" s="1">
        <f t="shared" si="3"/>
        <v>15</v>
      </c>
      <c r="B102" s="6">
        <v>44297</v>
      </c>
      <c r="C102" s="3">
        <f t="shared" si="4"/>
        <v>0</v>
      </c>
      <c r="D102" s="1">
        <v>0</v>
      </c>
      <c r="E102" s="1">
        <v>0</v>
      </c>
      <c r="F102" s="4">
        <v>0</v>
      </c>
      <c r="G102" s="4">
        <v>0</v>
      </c>
      <c r="H102" s="4">
        <v>0</v>
      </c>
      <c r="I102" s="4">
        <v>0</v>
      </c>
    </row>
    <row r="103" spans="1:9" s="4" customFormat="1" x14ac:dyDescent="0.25">
      <c r="A103" s="1">
        <f t="shared" si="3"/>
        <v>16</v>
      </c>
      <c r="B103" s="6">
        <v>44298</v>
      </c>
      <c r="C103" s="3">
        <f t="shared" si="4"/>
        <v>0</v>
      </c>
      <c r="D103" s="1">
        <v>0</v>
      </c>
      <c r="E103" s="1">
        <v>0</v>
      </c>
      <c r="F103" s="4">
        <v>0</v>
      </c>
      <c r="G103" s="4">
        <v>0</v>
      </c>
      <c r="H103" s="4">
        <v>0</v>
      </c>
      <c r="I103" s="4">
        <v>0</v>
      </c>
    </row>
    <row r="104" spans="1:9" s="4" customFormat="1" x14ac:dyDescent="0.25">
      <c r="A104" s="1">
        <f t="shared" si="3"/>
        <v>16</v>
      </c>
      <c r="B104" s="6">
        <v>44299</v>
      </c>
      <c r="C104" s="3">
        <f t="shared" si="4"/>
        <v>0</v>
      </c>
      <c r="D104" s="1">
        <v>0</v>
      </c>
      <c r="E104" s="1">
        <v>0</v>
      </c>
      <c r="F104" s="4">
        <v>0</v>
      </c>
      <c r="G104" s="4">
        <v>0</v>
      </c>
      <c r="H104" s="4">
        <v>0</v>
      </c>
      <c r="I104" s="4">
        <v>0</v>
      </c>
    </row>
    <row r="105" spans="1:9" s="4" customFormat="1" x14ac:dyDescent="0.25">
      <c r="A105" s="1">
        <f t="shared" si="3"/>
        <v>16</v>
      </c>
      <c r="B105" s="6">
        <v>44300</v>
      </c>
      <c r="C105" s="3">
        <f t="shared" si="4"/>
        <v>0</v>
      </c>
      <c r="D105" s="1">
        <v>0</v>
      </c>
      <c r="E105" s="1">
        <v>0</v>
      </c>
      <c r="F105" s="4">
        <v>0</v>
      </c>
      <c r="G105" s="4">
        <v>0</v>
      </c>
      <c r="H105" s="4">
        <v>0</v>
      </c>
      <c r="I105" s="4">
        <v>0</v>
      </c>
    </row>
    <row r="106" spans="1:9" s="4" customFormat="1" x14ac:dyDescent="0.25">
      <c r="A106" s="1">
        <f t="shared" si="3"/>
        <v>16</v>
      </c>
      <c r="B106" s="6">
        <v>44301</v>
      </c>
      <c r="C106" s="3">
        <f t="shared" si="4"/>
        <v>0</v>
      </c>
      <c r="D106" s="1">
        <v>0</v>
      </c>
      <c r="E106" s="1">
        <v>0</v>
      </c>
      <c r="F106" s="4">
        <v>0</v>
      </c>
      <c r="G106" s="4">
        <v>0</v>
      </c>
      <c r="H106" s="4">
        <v>0</v>
      </c>
      <c r="I106" s="4">
        <v>0</v>
      </c>
    </row>
    <row r="107" spans="1:9" s="4" customFormat="1" x14ac:dyDescent="0.25">
      <c r="A107" s="1">
        <f t="shared" si="3"/>
        <v>16</v>
      </c>
      <c r="B107" s="6">
        <v>44302</v>
      </c>
      <c r="C107" s="3">
        <f t="shared" si="4"/>
        <v>0</v>
      </c>
      <c r="D107" s="1">
        <v>0</v>
      </c>
      <c r="E107" s="1">
        <v>0</v>
      </c>
      <c r="F107" s="4">
        <v>0</v>
      </c>
      <c r="G107" s="4">
        <v>0</v>
      </c>
      <c r="H107" s="4">
        <v>0</v>
      </c>
      <c r="I107" s="4">
        <v>0</v>
      </c>
    </row>
    <row r="108" spans="1:9" s="4" customFormat="1" x14ac:dyDescent="0.25">
      <c r="A108" s="1">
        <f t="shared" si="3"/>
        <v>16</v>
      </c>
      <c r="B108" s="6">
        <v>44303</v>
      </c>
      <c r="C108" s="3">
        <f t="shared" si="4"/>
        <v>17.973333333333333</v>
      </c>
      <c r="D108" s="1">
        <v>27.5</v>
      </c>
      <c r="E108" s="1"/>
      <c r="H108" s="4">
        <v>26.42</v>
      </c>
      <c r="I108" s="4">
        <v>0</v>
      </c>
    </row>
    <row r="109" spans="1:9" s="4" customFormat="1" x14ac:dyDescent="0.25">
      <c r="A109" s="1">
        <f t="shared" si="3"/>
        <v>16</v>
      </c>
      <c r="B109" s="6">
        <v>44304</v>
      </c>
      <c r="C109" s="3">
        <f t="shared" si="4"/>
        <v>0</v>
      </c>
      <c r="D109" s="1">
        <v>0</v>
      </c>
      <c r="E109" s="1">
        <v>0</v>
      </c>
      <c r="F109" s="4">
        <v>0</v>
      </c>
      <c r="G109" s="4">
        <v>0</v>
      </c>
      <c r="H109" s="4">
        <v>0</v>
      </c>
      <c r="I109" s="4">
        <v>0</v>
      </c>
    </row>
    <row r="110" spans="1:9" s="4" customFormat="1" x14ac:dyDescent="0.25">
      <c r="A110" s="1">
        <f t="shared" si="3"/>
        <v>17</v>
      </c>
      <c r="B110" s="6">
        <v>44305</v>
      </c>
      <c r="C110" s="3">
        <f t="shared" si="4"/>
        <v>0</v>
      </c>
      <c r="D110" s="1">
        <v>0</v>
      </c>
      <c r="E110" s="1">
        <v>0</v>
      </c>
      <c r="F110" s="4">
        <v>0</v>
      </c>
      <c r="G110" s="4">
        <v>0</v>
      </c>
      <c r="H110" s="4">
        <v>0</v>
      </c>
      <c r="I110" s="4">
        <v>0</v>
      </c>
    </row>
    <row r="111" spans="1:9" s="4" customFormat="1" x14ac:dyDescent="0.25">
      <c r="A111" s="1">
        <f t="shared" si="3"/>
        <v>17</v>
      </c>
      <c r="B111" s="6">
        <v>44306</v>
      </c>
      <c r="C111" s="3">
        <f t="shared" si="4"/>
        <v>0</v>
      </c>
      <c r="D111" s="1">
        <v>0</v>
      </c>
      <c r="E111" s="1">
        <v>0</v>
      </c>
      <c r="F111" s="4">
        <v>0</v>
      </c>
      <c r="G111" s="4">
        <v>0</v>
      </c>
      <c r="H111" s="4">
        <v>0</v>
      </c>
      <c r="I111" s="4">
        <v>0</v>
      </c>
    </row>
    <row r="112" spans="1:9" s="4" customFormat="1" x14ac:dyDescent="0.25">
      <c r="A112" s="1">
        <f t="shared" si="3"/>
        <v>17</v>
      </c>
      <c r="B112" s="6">
        <v>44307</v>
      </c>
      <c r="C112" s="3">
        <f t="shared" si="4"/>
        <v>0</v>
      </c>
      <c r="D112" s="1">
        <v>0</v>
      </c>
      <c r="E112" s="1">
        <v>0</v>
      </c>
      <c r="F112" s="4">
        <v>0</v>
      </c>
      <c r="G112" s="4">
        <v>0</v>
      </c>
      <c r="H112" s="4">
        <v>0</v>
      </c>
      <c r="I112" s="4">
        <v>0</v>
      </c>
    </row>
    <row r="113" spans="1:11" s="4" customFormat="1" x14ac:dyDescent="0.25">
      <c r="A113" s="1">
        <f t="shared" si="3"/>
        <v>17</v>
      </c>
      <c r="B113" s="6">
        <v>44308</v>
      </c>
      <c r="C113" s="3">
        <f t="shared" si="4"/>
        <v>0</v>
      </c>
      <c r="D113" s="1">
        <v>0</v>
      </c>
      <c r="E113" s="1">
        <v>0</v>
      </c>
      <c r="F113" s="4">
        <v>0</v>
      </c>
      <c r="G113" s="4">
        <v>0</v>
      </c>
      <c r="H113" s="4">
        <v>0</v>
      </c>
      <c r="I113" s="4">
        <v>0</v>
      </c>
    </row>
    <row r="114" spans="1:11" s="4" customFormat="1" x14ac:dyDescent="0.25">
      <c r="A114" s="1">
        <f t="shared" si="3"/>
        <v>17</v>
      </c>
      <c r="B114" s="6">
        <v>44309</v>
      </c>
      <c r="C114" s="3">
        <f t="shared" si="4"/>
        <v>0</v>
      </c>
      <c r="D114" s="1">
        <v>0</v>
      </c>
      <c r="E114" s="1">
        <v>0</v>
      </c>
      <c r="F114" s="4">
        <v>0</v>
      </c>
      <c r="G114" s="4">
        <v>0</v>
      </c>
      <c r="H114" s="4">
        <v>0</v>
      </c>
      <c r="I114" s="4">
        <v>0</v>
      </c>
    </row>
    <row r="115" spans="1:11" s="4" customFormat="1" x14ac:dyDescent="0.25">
      <c r="A115" s="1">
        <f t="shared" si="3"/>
        <v>17</v>
      </c>
      <c r="B115" s="6">
        <v>44310</v>
      </c>
      <c r="C115" s="3">
        <f t="shared" si="4"/>
        <v>0</v>
      </c>
      <c r="D115" s="1">
        <v>0</v>
      </c>
      <c r="E115" s="1">
        <v>0</v>
      </c>
      <c r="F115" s="4">
        <v>0</v>
      </c>
      <c r="G115" s="4">
        <v>0</v>
      </c>
      <c r="H115" s="4">
        <v>0</v>
      </c>
      <c r="I115" s="4">
        <v>0</v>
      </c>
    </row>
    <row r="116" spans="1:11" s="4" customFormat="1" x14ac:dyDescent="0.25">
      <c r="A116" s="1">
        <f t="shared" si="3"/>
        <v>17</v>
      </c>
      <c r="B116" s="6">
        <v>44311</v>
      </c>
      <c r="C116" s="3">
        <f t="shared" si="4"/>
        <v>0</v>
      </c>
      <c r="D116" s="1">
        <v>0</v>
      </c>
      <c r="E116" s="1">
        <v>0</v>
      </c>
      <c r="F116" s="4">
        <v>0</v>
      </c>
      <c r="G116" s="4">
        <v>0</v>
      </c>
      <c r="H116" s="4">
        <v>0</v>
      </c>
      <c r="I116" s="4">
        <v>0</v>
      </c>
    </row>
    <row r="117" spans="1:11" s="4" customFormat="1" x14ac:dyDescent="0.25">
      <c r="A117" s="1">
        <f t="shared" si="3"/>
        <v>18</v>
      </c>
      <c r="B117" s="6">
        <v>44312</v>
      </c>
      <c r="C117" s="3">
        <f t="shared" si="4"/>
        <v>0</v>
      </c>
      <c r="D117" s="1">
        <v>0</v>
      </c>
      <c r="E117" s="1">
        <v>0</v>
      </c>
      <c r="F117" s="4">
        <v>0</v>
      </c>
      <c r="G117" s="4">
        <v>0</v>
      </c>
      <c r="H117" s="4">
        <v>0</v>
      </c>
      <c r="I117" s="4">
        <v>0</v>
      </c>
    </row>
    <row r="118" spans="1:11" s="4" customFormat="1" x14ac:dyDescent="0.25">
      <c r="A118" s="1">
        <f t="shared" si="3"/>
        <v>18</v>
      </c>
      <c r="B118" s="6">
        <v>44313</v>
      </c>
      <c r="C118" s="3">
        <f t="shared" si="4"/>
        <v>0</v>
      </c>
      <c r="D118" s="1">
        <v>0</v>
      </c>
      <c r="E118" s="1">
        <v>0</v>
      </c>
      <c r="F118" s="4">
        <v>0</v>
      </c>
      <c r="G118" s="4">
        <v>0</v>
      </c>
      <c r="H118" s="4">
        <v>0</v>
      </c>
      <c r="I118" s="4">
        <v>0</v>
      </c>
    </row>
    <row r="119" spans="1:11" s="4" customFormat="1" x14ac:dyDescent="0.25">
      <c r="A119" s="1"/>
      <c r="B119" s="6">
        <v>44314</v>
      </c>
      <c r="C119" s="3">
        <f t="shared" si="4"/>
        <v>0</v>
      </c>
      <c r="D119" s="1">
        <v>0</v>
      </c>
      <c r="E119" s="1">
        <v>0</v>
      </c>
      <c r="F119" s="4">
        <v>0</v>
      </c>
      <c r="G119" s="4">
        <v>0</v>
      </c>
      <c r="H119" s="4">
        <v>0</v>
      </c>
      <c r="I119" s="4">
        <v>0</v>
      </c>
    </row>
    <row r="120" spans="1:11" s="4" customFormat="1" x14ac:dyDescent="0.25">
      <c r="A120" s="1">
        <f t="shared" si="3"/>
        <v>18</v>
      </c>
      <c r="B120" s="6">
        <v>44315</v>
      </c>
      <c r="C120" s="3">
        <f t="shared" si="4"/>
        <v>0</v>
      </c>
      <c r="D120" s="1">
        <v>0</v>
      </c>
      <c r="E120" s="1">
        <v>0</v>
      </c>
      <c r="F120" s="4">
        <v>0</v>
      </c>
      <c r="G120" s="4">
        <v>0</v>
      </c>
      <c r="H120" s="4">
        <v>0</v>
      </c>
      <c r="I120" s="4">
        <v>0</v>
      </c>
    </row>
    <row r="121" spans="1:11" s="14" customFormat="1" ht="15.75" thickBot="1" x14ac:dyDescent="0.3">
      <c r="A121" s="13">
        <f t="shared" si="3"/>
        <v>18</v>
      </c>
      <c r="B121" s="6">
        <v>44316</v>
      </c>
      <c r="C121" s="3">
        <f t="shared" si="4"/>
        <v>0</v>
      </c>
      <c r="D121" s="1">
        <v>0</v>
      </c>
      <c r="E121" s="1">
        <v>0</v>
      </c>
      <c r="F121" s="4">
        <v>0</v>
      </c>
      <c r="G121" s="4">
        <v>0</v>
      </c>
      <c r="H121" s="4">
        <v>0</v>
      </c>
      <c r="I121" s="4">
        <v>0</v>
      </c>
      <c r="J121" s="4"/>
      <c r="K121" s="20">
        <f>SUM(C92:C121)</f>
        <v>17.973333333333333</v>
      </c>
    </row>
    <row r="122" spans="1:11" s="4" customFormat="1" ht="15.75" thickTop="1" x14ac:dyDescent="0.25">
      <c r="A122" s="1">
        <f t="shared" si="3"/>
        <v>18</v>
      </c>
      <c r="B122" s="6">
        <v>44317</v>
      </c>
      <c r="C122" s="3">
        <f t="shared" si="4"/>
        <v>0</v>
      </c>
      <c r="D122" s="1">
        <v>0</v>
      </c>
      <c r="E122" s="1">
        <v>0</v>
      </c>
      <c r="F122" s="4">
        <v>0</v>
      </c>
      <c r="G122" s="4">
        <v>0</v>
      </c>
      <c r="H122" s="4">
        <v>0</v>
      </c>
      <c r="I122" s="4">
        <v>0</v>
      </c>
    </row>
    <row r="123" spans="1:11" s="4" customFormat="1" x14ac:dyDescent="0.25">
      <c r="A123" s="1">
        <f t="shared" si="3"/>
        <v>18</v>
      </c>
      <c r="B123" s="6">
        <v>44318</v>
      </c>
      <c r="C123" s="3">
        <f t="shared" si="4"/>
        <v>0</v>
      </c>
      <c r="D123" s="1">
        <v>0</v>
      </c>
      <c r="E123" s="1">
        <v>0</v>
      </c>
      <c r="F123" s="4">
        <v>0</v>
      </c>
      <c r="G123" s="4">
        <v>0</v>
      </c>
      <c r="H123" s="4">
        <v>0</v>
      </c>
      <c r="I123" s="4">
        <v>0</v>
      </c>
    </row>
    <row r="124" spans="1:11" s="4" customFormat="1" x14ac:dyDescent="0.25">
      <c r="A124" s="1">
        <f t="shared" si="3"/>
        <v>19</v>
      </c>
      <c r="B124" s="6">
        <v>44319</v>
      </c>
      <c r="C124" s="3">
        <f t="shared" si="4"/>
        <v>0</v>
      </c>
      <c r="D124" s="1">
        <v>0</v>
      </c>
      <c r="E124" s="1">
        <v>0</v>
      </c>
      <c r="F124" s="4">
        <v>0</v>
      </c>
      <c r="G124" s="4">
        <v>0</v>
      </c>
      <c r="H124" s="4">
        <v>0</v>
      </c>
      <c r="I124" s="4">
        <v>0</v>
      </c>
    </row>
    <row r="125" spans="1:11" s="4" customFormat="1" x14ac:dyDescent="0.25">
      <c r="A125" s="1">
        <f t="shared" si="3"/>
        <v>19</v>
      </c>
      <c r="B125" s="6">
        <v>44320</v>
      </c>
      <c r="C125" s="3">
        <f t="shared" si="4"/>
        <v>0</v>
      </c>
      <c r="D125" s="1">
        <v>0</v>
      </c>
      <c r="E125" s="1">
        <v>0</v>
      </c>
      <c r="F125" s="4">
        <v>0</v>
      </c>
      <c r="G125" s="4">
        <v>0</v>
      </c>
      <c r="H125" s="4">
        <v>0</v>
      </c>
      <c r="I125" s="4">
        <v>0</v>
      </c>
    </row>
    <row r="126" spans="1:11" s="4" customFormat="1" x14ac:dyDescent="0.25">
      <c r="A126" s="1">
        <f t="shared" si="3"/>
        <v>19</v>
      </c>
      <c r="B126" s="6">
        <v>44321</v>
      </c>
      <c r="C126" s="3">
        <f t="shared" si="4"/>
        <v>23.594999999999999</v>
      </c>
      <c r="D126" s="1">
        <v>30</v>
      </c>
      <c r="E126" s="1">
        <v>23</v>
      </c>
      <c r="F126" s="4">
        <v>5</v>
      </c>
      <c r="G126" s="4">
        <v>30</v>
      </c>
      <c r="H126" s="4">
        <v>23.88</v>
      </c>
      <c r="I126" s="4">
        <v>29.69</v>
      </c>
    </row>
    <row r="127" spans="1:11" s="4" customFormat="1" x14ac:dyDescent="0.25">
      <c r="A127" s="1">
        <f t="shared" si="3"/>
        <v>19</v>
      </c>
      <c r="B127" s="6">
        <v>44322</v>
      </c>
      <c r="C127" s="3">
        <f t="shared" si="4"/>
        <v>0</v>
      </c>
      <c r="D127" s="1">
        <v>0</v>
      </c>
      <c r="E127" s="1">
        <v>0</v>
      </c>
      <c r="F127" s="4">
        <v>0</v>
      </c>
      <c r="G127" s="4">
        <v>0</v>
      </c>
      <c r="H127" s="4">
        <v>0</v>
      </c>
      <c r="I127" s="4">
        <v>0</v>
      </c>
    </row>
    <row r="128" spans="1:11" s="4" customFormat="1" x14ac:dyDescent="0.25">
      <c r="A128" s="1">
        <f t="shared" si="3"/>
        <v>19</v>
      </c>
      <c r="B128" s="6">
        <v>44323</v>
      </c>
      <c r="C128" s="3">
        <f t="shared" si="4"/>
        <v>18.07</v>
      </c>
      <c r="D128" s="1">
        <v>18</v>
      </c>
      <c r="E128" s="1">
        <v>11</v>
      </c>
      <c r="F128" s="4">
        <v>37</v>
      </c>
      <c r="G128" s="4">
        <v>16</v>
      </c>
      <c r="H128" s="4">
        <v>13.72</v>
      </c>
      <c r="I128" s="4">
        <v>12.7</v>
      </c>
    </row>
    <row r="129" spans="1:9" s="4" customFormat="1" x14ac:dyDescent="0.25">
      <c r="A129" s="1">
        <f t="shared" si="3"/>
        <v>19</v>
      </c>
      <c r="B129" s="6">
        <v>44324</v>
      </c>
      <c r="C129" s="3">
        <f t="shared" si="4"/>
        <v>0</v>
      </c>
      <c r="D129" s="1">
        <v>0</v>
      </c>
      <c r="E129" s="1">
        <v>0</v>
      </c>
      <c r="F129" s="4">
        <v>0</v>
      </c>
      <c r="G129" s="4">
        <v>0</v>
      </c>
      <c r="H129" s="4">
        <v>0</v>
      </c>
      <c r="I129" s="4">
        <v>0</v>
      </c>
    </row>
    <row r="130" spans="1:9" s="4" customFormat="1" x14ac:dyDescent="0.25">
      <c r="A130" s="1">
        <f t="shared" ref="A130:A193" si="5">WEEKNUM($B130,2)</f>
        <v>19</v>
      </c>
      <c r="B130" s="6">
        <v>44325</v>
      </c>
      <c r="C130" s="3">
        <f t="shared" si="4"/>
        <v>0</v>
      </c>
      <c r="D130" s="1">
        <v>0</v>
      </c>
      <c r="E130" s="1">
        <v>0</v>
      </c>
      <c r="F130" s="4">
        <v>0</v>
      </c>
      <c r="G130" s="4">
        <v>0</v>
      </c>
      <c r="H130" s="4">
        <v>0</v>
      </c>
      <c r="I130" s="4">
        <v>0</v>
      </c>
    </row>
    <row r="131" spans="1:9" s="4" customFormat="1" x14ac:dyDescent="0.25">
      <c r="A131" s="1">
        <f t="shared" si="5"/>
        <v>20</v>
      </c>
      <c r="B131" s="6">
        <v>44326</v>
      </c>
      <c r="C131" s="3">
        <f t="shared" ref="C131:C194" si="6">AVERAGE(D131:J131)</f>
        <v>0</v>
      </c>
      <c r="D131" s="1">
        <v>0</v>
      </c>
      <c r="E131" s="1">
        <v>0</v>
      </c>
      <c r="F131" s="4">
        <v>0</v>
      </c>
      <c r="G131" s="4">
        <v>0</v>
      </c>
      <c r="H131" s="4">
        <v>0</v>
      </c>
      <c r="I131" s="4">
        <v>0</v>
      </c>
    </row>
    <row r="132" spans="1:9" s="4" customFormat="1" x14ac:dyDescent="0.25">
      <c r="A132" s="1">
        <f t="shared" si="5"/>
        <v>20</v>
      </c>
      <c r="B132" s="6">
        <v>44327</v>
      </c>
      <c r="C132" s="3">
        <f t="shared" si="6"/>
        <v>4.6599999999999993</v>
      </c>
      <c r="D132" s="1">
        <v>7</v>
      </c>
      <c r="E132" s="1">
        <v>4</v>
      </c>
      <c r="F132" s="4">
        <v>6</v>
      </c>
      <c r="H132" s="4">
        <v>3.81</v>
      </c>
      <c r="I132" s="4">
        <v>2.4900000000000002</v>
      </c>
    </row>
    <row r="133" spans="1:9" s="4" customFormat="1" x14ac:dyDescent="0.25">
      <c r="A133" s="1">
        <f t="shared" si="5"/>
        <v>20</v>
      </c>
      <c r="B133" s="6">
        <v>44328</v>
      </c>
      <c r="C133" s="3">
        <f t="shared" si="6"/>
        <v>0</v>
      </c>
      <c r="D133" s="1">
        <v>0</v>
      </c>
      <c r="E133" s="1">
        <v>0</v>
      </c>
      <c r="F133" s="4">
        <v>0</v>
      </c>
      <c r="G133" s="4">
        <v>0</v>
      </c>
      <c r="H133" s="4">
        <v>0</v>
      </c>
      <c r="I133" s="4">
        <v>0</v>
      </c>
    </row>
    <row r="134" spans="1:9" s="4" customFormat="1" x14ac:dyDescent="0.25">
      <c r="A134" s="1">
        <f t="shared" si="5"/>
        <v>20</v>
      </c>
      <c r="B134" s="6">
        <v>44329</v>
      </c>
      <c r="C134" s="3">
        <f t="shared" si="6"/>
        <v>0</v>
      </c>
      <c r="D134" s="1">
        <v>0</v>
      </c>
      <c r="E134" s="1">
        <v>0</v>
      </c>
      <c r="F134" s="4">
        <v>0</v>
      </c>
      <c r="G134" s="4">
        <v>0</v>
      </c>
      <c r="H134" s="4">
        <v>0</v>
      </c>
      <c r="I134" s="4">
        <v>0</v>
      </c>
    </row>
    <row r="135" spans="1:9" s="4" customFormat="1" x14ac:dyDescent="0.25">
      <c r="A135" s="1">
        <f t="shared" si="5"/>
        <v>20</v>
      </c>
      <c r="B135" s="6">
        <v>44330</v>
      </c>
      <c r="C135" s="3">
        <f t="shared" si="6"/>
        <v>0</v>
      </c>
      <c r="D135" s="1">
        <v>0</v>
      </c>
      <c r="E135" s="1">
        <v>0</v>
      </c>
      <c r="F135" s="4">
        <v>0</v>
      </c>
      <c r="G135" s="4">
        <v>0</v>
      </c>
      <c r="H135" s="4">
        <v>0</v>
      </c>
      <c r="I135" s="4">
        <v>0</v>
      </c>
    </row>
    <row r="136" spans="1:9" s="4" customFormat="1" x14ac:dyDescent="0.25">
      <c r="A136" s="1">
        <f t="shared" si="5"/>
        <v>20</v>
      </c>
      <c r="B136" s="6">
        <v>44331</v>
      </c>
      <c r="C136" s="3">
        <f t="shared" si="6"/>
        <v>4.6033333333333326</v>
      </c>
      <c r="D136" s="1">
        <v>2</v>
      </c>
      <c r="E136" s="1">
        <v>6</v>
      </c>
      <c r="F136" s="4">
        <v>7</v>
      </c>
      <c r="G136" s="4">
        <v>3.5</v>
      </c>
      <c r="H136" s="4">
        <v>3.81</v>
      </c>
      <c r="I136" s="4">
        <v>5.31</v>
      </c>
    </row>
    <row r="137" spans="1:9" s="4" customFormat="1" x14ac:dyDescent="0.25">
      <c r="A137" s="1">
        <f t="shared" si="5"/>
        <v>20</v>
      </c>
      <c r="B137" s="6">
        <v>44332</v>
      </c>
      <c r="C137" s="3">
        <f t="shared" si="6"/>
        <v>0</v>
      </c>
      <c r="D137" s="1">
        <v>0</v>
      </c>
      <c r="E137" s="1">
        <v>0</v>
      </c>
      <c r="F137" s="4">
        <v>0</v>
      </c>
      <c r="G137" s="4">
        <v>0</v>
      </c>
      <c r="H137" s="4">
        <v>0</v>
      </c>
      <c r="I137" s="4">
        <v>0</v>
      </c>
    </row>
    <row r="138" spans="1:9" s="4" customFormat="1" x14ac:dyDescent="0.25">
      <c r="A138" s="1">
        <f t="shared" si="5"/>
        <v>21</v>
      </c>
      <c r="B138" s="6">
        <v>44333</v>
      </c>
      <c r="C138" s="3">
        <f t="shared" si="6"/>
        <v>0</v>
      </c>
      <c r="D138" s="1">
        <v>0</v>
      </c>
      <c r="E138" s="1">
        <v>0</v>
      </c>
      <c r="F138" s="4">
        <v>0</v>
      </c>
      <c r="G138" s="4">
        <v>0</v>
      </c>
      <c r="H138" s="4">
        <v>0</v>
      </c>
      <c r="I138" s="4">
        <v>0</v>
      </c>
    </row>
    <row r="139" spans="1:9" s="4" customFormat="1" x14ac:dyDescent="0.25">
      <c r="A139" s="1">
        <f t="shared" si="5"/>
        <v>21</v>
      </c>
      <c r="B139" s="6">
        <v>44334</v>
      </c>
      <c r="C139" s="3">
        <f t="shared" si="6"/>
        <v>0</v>
      </c>
      <c r="D139" s="1">
        <v>0</v>
      </c>
      <c r="E139" s="1">
        <v>0</v>
      </c>
      <c r="F139" s="4">
        <v>0</v>
      </c>
      <c r="G139" s="4">
        <v>0</v>
      </c>
      <c r="H139" s="4">
        <v>0</v>
      </c>
      <c r="I139" s="4">
        <v>0</v>
      </c>
    </row>
    <row r="140" spans="1:9" s="4" customFormat="1" x14ac:dyDescent="0.25">
      <c r="A140" s="1">
        <f t="shared" si="5"/>
        <v>21</v>
      </c>
      <c r="B140" s="6">
        <v>44335</v>
      </c>
      <c r="C140" s="3">
        <f t="shared" si="6"/>
        <v>0</v>
      </c>
      <c r="D140" s="1">
        <v>0</v>
      </c>
      <c r="E140" s="1">
        <v>0</v>
      </c>
      <c r="F140" s="4">
        <v>0</v>
      </c>
      <c r="G140" s="4">
        <v>0</v>
      </c>
      <c r="H140" s="4">
        <v>0</v>
      </c>
      <c r="I140" s="4">
        <v>0</v>
      </c>
    </row>
    <row r="141" spans="1:9" s="4" customFormat="1" x14ac:dyDescent="0.25">
      <c r="A141" s="1">
        <f t="shared" si="5"/>
        <v>21</v>
      </c>
      <c r="B141" s="6">
        <v>44336</v>
      </c>
      <c r="C141" s="3">
        <f t="shared" si="6"/>
        <v>0</v>
      </c>
      <c r="D141" s="1">
        <v>0</v>
      </c>
      <c r="E141" s="1">
        <v>0</v>
      </c>
      <c r="F141" s="4">
        <v>0</v>
      </c>
      <c r="G141" s="4">
        <v>0</v>
      </c>
      <c r="H141" s="4">
        <v>0</v>
      </c>
      <c r="I141" s="4">
        <v>0</v>
      </c>
    </row>
    <row r="142" spans="1:9" s="4" customFormat="1" x14ac:dyDescent="0.25">
      <c r="A142" s="1">
        <f t="shared" si="5"/>
        <v>21</v>
      </c>
      <c r="B142" s="6">
        <v>44337</v>
      </c>
      <c r="C142" s="3">
        <f t="shared" si="6"/>
        <v>0</v>
      </c>
      <c r="D142" s="1">
        <v>0</v>
      </c>
      <c r="E142" s="1">
        <v>0</v>
      </c>
      <c r="F142" s="4">
        <v>0</v>
      </c>
      <c r="G142" s="4">
        <v>0</v>
      </c>
      <c r="H142" s="4">
        <v>0</v>
      </c>
      <c r="I142" s="4">
        <v>0</v>
      </c>
    </row>
    <row r="143" spans="1:9" s="4" customFormat="1" x14ac:dyDescent="0.25">
      <c r="A143" s="1">
        <f t="shared" si="5"/>
        <v>21</v>
      </c>
      <c r="B143" s="6">
        <v>44338</v>
      </c>
      <c r="C143" s="3">
        <f t="shared" si="6"/>
        <v>0</v>
      </c>
      <c r="D143" s="1">
        <v>0</v>
      </c>
      <c r="E143" s="1">
        <v>0</v>
      </c>
      <c r="F143" s="4">
        <v>0</v>
      </c>
      <c r="G143" s="4">
        <v>0</v>
      </c>
      <c r="H143" s="4">
        <v>0</v>
      </c>
      <c r="I143" s="4">
        <v>0</v>
      </c>
    </row>
    <row r="144" spans="1:9" s="4" customFormat="1" x14ac:dyDescent="0.25">
      <c r="A144" s="1">
        <f t="shared" si="5"/>
        <v>21</v>
      </c>
      <c r="B144" s="6">
        <v>44339</v>
      </c>
      <c r="C144" s="3">
        <f t="shared" si="6"/>
        <v>2.8200000000000003</v>
      </c>
      <c r="D144" s="1">
        <v>4.5</v>
      </c>
      <c r="E144" s="1">
        <v>2.5</v>
      </c>
      <c r="F144" s="4">
        <v>0.3</v>
      </c>
      <c r="G144" s="4">
        <v>3.5</v>
      </c>
      <c r="H144" s="4">
        <v>3.3</v>
      </c>
    </row>
    <row r="145" spans="1:11" s="4" customFormat="1" x14ac:dyDescent="0.25">
      <c r="A145" s="1">
        <f t="shared" si="5"/>
        <v>22</v>
      </c>
      <c r="B145" s="6">
        <v>44340</v>
      </c>
      <c r="C145" s="3">
        <f t="shared" si="6"/>
        <v>0</v>
      </c>
      <c r="D145" s="1">
        <v>0</v>
      </c>
      <c r="E145" s="1">
        <v>0</v>
      </c>
      <c r="F145" s="4">
        <v>0</v>
      </c>
      <c r="G145" s="4">
        <v>0</v>
      </c>
      <c r="H145" s="4">
        <v>0</v>
      </c>
      <c r="I145" s="4">
        <v>0</v>
      </c>
    </row>
    <row r="146" spans="1:11" s="4" customFormat="1" x14ac:dyDescent="0.25">
      <c r="A146" s="1">
        <f t="shared" si="5"/>
        <v>22</v>
      </c>
      <c r="B146" s="6">
        <v>44341</v>
      </c>
      <c r="C146" s="3">
        <f t="shared" si="6"/>
        <v>58.62166666666667</v>
      </c>
      <c r="D146" s="1">
        <v>65</v>
      </c>
      <c r="E146" s="1">
        <v>67.5</v>
      </c>
      <c r="F146" s="4">
        <v>34</v>
      </c>
      <c r="G146" s="4">
        <v>66</v>
      </c>
      <c r="H146" s="4">
        <v>53.34</v>
      </c>
      <c r="I146" s="4">
        <v>65.89</v>
      </c>
    </row>
    <row r="147" spans="1:11" s="4" customFormat="1" x14ac:dyDescent="0.25">
      <c r="A147" s="1">
        <f t="shared" si="5"/>
        <v>22</v>
      </c>
      <c r="B147" s="6">
        <v>44342</v>
      </c>
      <c r="C147" s="3">
        <f t="shared" si="6"/>
        <v>0</v>
      </c>
      <c r="D147" s="1">
        <v>0</v>
      </c>
      <c r="E147" s="1">
        <v>0</v>
      </c>
      <c r="F147" s="4">
        <v>0</v>
      </c>
      <c r="G147" s="4">
        <v>0</v>
      </c>
      <c r="H147" s="4">
        <v>0</v>
      </c>
      <c r="I147" s="4">
        <v>0</v>
      </c>
    </row>
    <row r="148" spans="1:11" s="4" customFormat="1" x14ac:dyDescent="0.25">
      <c r="A148" s="1">
        <f t="shared" si="5"/>
        <v>22</v>
      </c>
      <c r="B148" s="6">
        <v>44343</v>
      </c>
      <c r="C148" s="3">
        <f t="shared" si="6"/>
        <v>0</v>
      </c>
      <c r="D148" s="1">
        <v>0</v>
      </c>
      <c r="E148" s="1">
        <v>0</v>
      </c>
      <c r="F148" s="4">
        <v>0</v>
      </c>
      <c r="G148" s="4">
        <v>0</v>
      </c>
      <c r="H148" s="4">
        <v>0</v>
      </c>
      <c r="I148" s="4">
        <v>0</v>
      </c>
    </row>
    <row r="149" spans="1:11" s="4" customFormat="1" x14ac:dyDescent="0.25">
      <c r="A149" s="1">
        <f t="shared" si="5"/>
        <v>22</v>
      </c>
      <c r="B149" s="6">
        <v>44344</v>
      </c>
      <c r="C149" s="3">
        <f t="shared" si="6"/>
        <v>0</v>
      </c>
      <c r="D149" s="1">
        <v>0</v>
      </c>
      <c r="E149" s="1">
        <v>0</v>
      </c>
      <c r="F149" s="4">
        <v>0</v>
      </c>
      <c r="G149" s="4">
        <v>0</v>
      </c>
      <c r="H149" s="4">
        <v>0</v>
      </c>
      <c r="I149" s="4">
        <v>0</v>
      </c>
    </row>
    <row r="150" spans="1:11" s="4" customFormat="1" x14ac:dyDescent="0.25">
      <c r="A150" s="1">
        <f t="shared" si="5"/>
        <v>22</v>
      </c>
      <c r="B150" s="6">
        <v>44345</v>
      </c>
      <c r="C150" s="3">
        <f t="shared" si="6"/>
        <v>0</v>
      </c>
      <c r="D150" s="1">
        <v>0</v>
      </c>
      <c r="E150" s="1">
        <v>0</v>
      </c>
      <c r="F150" s="4">
        <v>0</v>
      </c>
      <c r="G150" s="4">
        <v>0</v>
      </c>
      <c r="H150" s="4">
        <v>0</v>
      </c>
      <c r="I150" s="4">
        <v>0</v>
      </c>
    </row>
    <row r="151" spans="1:11" s="4" customFormat="1" x14ac:dyDescent="0.25">
      <c r="A151" s="1"/>
      <c r="B151" s="6">
        <v>44346</v>
      </c>
      <c r="C151" s="3">
        <f t="shared" si="6"/>
        <v>0</v>
      </c>
      <c r="D151" s="1">
        <v>0</v>
      </c>
      <c r="E151" s="1">
        <v>0</v>
      </c>
      <c r="F151" s="4">
        <v>0</v>
      </c>
      <c r="G151" s="4">
        <v>0</v>
      </c>
      <c r="H151" s="4">
        <v>0</v>
      </c>
      <c r="I151" s="4">
        <v>0</v>
      </c>
    </row>
    <row r="152" spans="1:11" s="4" customFormat="1" x14ac:dyDescent="0.25">
      <c r="A152" s="1">
        <f t="shared" si="5"/>
        <v>23</v>
      </c>
      <c r="B152" s="6">
        <v>44347</v>
      </c>
      <c r="C152" s="3">
        <f t="shared" si="6"/>
        <v>0</v>
      </c>
      <c r="D152" s="1">
        <v>0</v>
      </c>
      <c r="E152" s="1">
        <v>0</v>
      </c>
      <c r="F152" s="4">
        <v>0</v>
      </c>
      <c r="G152" s="4">
        <v>0</v>
      </c>
      <c r="H152" s="4">
        <v>0</v>
      </c>
      <c r="I152" s="4">
        <v>0</v>
      </c>
      <c r="K152" s="21">
        <f>SUM(C122:C152)</f>
        <v>112.37</v>
      </c>
    </row>
    <row r="153" spans="1:11" s="4" customFormat="1" x14ac:dyDescent="0.25">
      <c r="A153" s="1">
        <f t="shared" si="5"/>
        <v>23</v>
      </c>
      <c r="B153" s="6">
        <v>44348</v>
      </c>
      <c r="C153" s="3">
        <f t="shared" si="6"/>
        <v>14.692000000000002</v>
      </c>
      <c r="D153" s="1">
        <v>12</v>
      </c>
      <c r="E153" s="1">
        <v>15.5</v>
      </c>
      <c r="F153" s="4">
        <v>16</v>
      </c>
      <c r="G153" s="4">
        <v>16</v>
      </c>
      <c r="H153" s="4">
        <v>13.96</v>
      </c>
    </row>
    <row r="154" spans="1:11" s="4" customFormat="1" x14ac:dyDescent="0.25">
      <c r="A154" s="1">
        <f t="shared" si="5"/>
        <v>23</v>
      </c>
      <c r="B154" s="6">
        <v>44349</v>
      </c>
      <c r="C154" s="3">
        <f t="shared" si="6"/>
        <v>0</v>
      </c>
      <c r="D154" s="1">
        <v>0</v>
      </c>
      <c r="E154" s="1">
        <v>0</v>
      </c>
      <c r="F154" s="4">
        <v>0</v>
      </c>
      <c r="G154" s="4">
        <v>0</v>
      </c>
      <c r="H154" s="4">
        <v>0</v>
      </c>
      <c r="I154" s="4">
        <v>0</v>
      </c>
    </row>
    <row r="155" spans="1:11" s="4" customFormat="1" x14ac:dyDescent="0.25">
      <c r="A155" s="1">
        <f t="shared" si="5"/>
        <v>23</v>
      </c>
      <c r="B155" s="6">
        <v>44350</v>
      </c>
      <c r="C155" s="3">
        <f t="shared" si="6"/>
        <v>9.8833333333333329</v>
      </c>
      <c r="D155" s="1">
        <v>8</v>
      </c>
      <c r="E155" s="1">
        <v>14</v>
      </c>
      <c r="F155" s="4">
        <v>7</v>
      </c>
      <c r="G155" s="4">
        <v>9.5</v>
      </c>
      <c r="H155" s="4">
        <v>8.89</v>
      </c>
      <c r="I155" s="4">
        <v>11.91</v>
      </c>
    </row>
    <row r="156" spans="1:11" s="4" customFormat="1" x14ac:dyDescent="0.25">
      <c r="A156" s="1">
        <f t="shared" si="5"/>
        <v>23</v>
      </c>
      <c r="B156" s="6">
        <v>44351</v>
      </c>
      <c r="C156" s="3">
        <f t="shared" si="6"/>
        <v>0</v>
      </c>
      <c r="D156" s="1">
        <v>0</v>
      </c>
      <c r="E156" s="1">
        <v>0</v>
      </c>
      <c r="F156" s="4">
        <v>0</v>
      </c>
      <c r="G156" s="4">
        <v>0</v>
      </c>
      <c r="H156" s="4">
        <v>0</v>
      </c>
      <c r="I156" s="4">
        <v>0</v>
      </c>
    </row>
    <row r="157" spans="1:11" s="4" customFormat="1" x14ac:dyDescent="0.25">
      <c r="A157" s="1">
        <f t="shared" si="5"/>
        <v>23</v>
      </c>
      <c r="B157" s="6">
        <v>44352</v>
      </c>
      <c r="C157" s="3">
        <f t="shared" si="6"/>
        <v>0</v>
      </c>
      <c r="D157" s="1">
        <v>0</v>
      </c>
      <c r="E157" s="1">
        <v>0</v>
      </c>
      <c r="F157" s="4">
        <v>0</v>
      </c>
      <c r="G157" s="4">
        <v>0</v>
      </c>
      <c r="H157" s="4">
        <v>0</v>
      </c>
      <c r="I157" s="4">
        <v>0</v>
      </c>
    </row>
    <row r="158" spans="1:11" s="4" customFormat="1" x14ac:dyDescent="0.25">
      <c r="A158" s="1">
        <f t="shared" si="5"/>
        <v>23</v>
      </c>
      <c r="B158" s="6">
        <v>44353</v>
      </c>
      <c r="C158" s="3">
        <f t="shared" si="6"/>
        <v>20.734999999999999</v>
      </c>
      <c r="D158" s="1">
        <v>18</v>
      </c>
      <c r="E158" s="1">
        <v>24.5</v>
      </c>
      <c r="F158" s="4">
        <v>19.5</v>
      </c>
      <c r="G158" s="4">
        <v>19</v>
      </c>
      <c r="H158" s="4">
        <v>19.809999999999999</v>
      </c>
      <c r="I158" s="4">
        <v>23.6</v>
      </c>
    </row>
    <row r="159" spans="1:11" s="4" customFormat="1" x14ac:dyDescent="0.25">
      <c r="A159" s="1">
        <f t="shared" si="5"/>
        <v>24</v>
      </c>
      <c r="B159" s="6">
        <v>44354</v>
      </c>
      <c r="C159" s="3">
        <f t="shared" si="6"/>
        <v>0</v>
      </c>
      <c r="D159" s="1">
        <v>0</v>
      </c>
      <c r="E159" s="1">
        <v>0</v>
      </c>
      <c r="F159" s="4">
        <v>0</v>
      </c>
      <c r="G159" s="4">
        <v>0</v>
      </c>
      <c r="H159" s="4">
        <v>0</v>
      </c>
      <c r="I159" s="4">
        <v>0</v>
      </c>
    </row>
    <row r="160" spans="1:11" s="4" customFormat="1" x14ac:dyDescent="0.25">
      <c r="A160" s="1">
        <f t="shared" si="5"/>
        <v>24</v>
      </c>
      <c r="B160" s="6">
        <v>44355</v>
      </c>
      <c r="C160" s="3">
        <f t="shared" si="6"/>
        <v>0</v>
      </c>
      <c r="D160" s="1">
        <v>0</v>
      </c>
      <c r="E160" s="1">
        <v>0</v>
      </c>
      <c r="F160" s="4">
        <v>0</v>
      </c>
      <c r="G160" s="4">
        <v>0</v>
      </c>
      <c r="H160" s="4">
        <v>0</v>
      </c>
      <c r="I160" s="4">
        <v>0</v>
      </c>
    </row>
    <row r="161" spans="1:13" s="4" customFormat="1" x14ac:dyDescent="0.25">
      <c r="A161" s="1">
        <f t="shared" si="5"/>
        <v>24</v>
      </c>
      <c r="B161" s="6">
        <v>44356</v>
      </c>
      <c r="C161" s="3">
        <f t="shared" si="6"/>
        <v>0</v>
      </c>
      <c r="D161" s="1">
        <v>0</v>
      </c>
      <c r="E161" s="1">
        <v>0</v>
      </c>
      <c r="F161" s="4">
        <v>0</v>
      </c>
      <c r="G161" s="4">
        <v>0</v>
      </c>
      <c r="H161" s="4">
        <v>0</v>
      </c>
      <c r="I161" s="4">
        <v>0</v>
      </c>
    </row>
    <row r="162" spans="1:13" s="4" customFormat="1" x14ac:dyDescent="0.25">
      <c r="A162" s="1">
        <f t="shared" si="5"/>
        <v>24</v>
      </c>
      <c r="B162" s="6">
        <v>44357</v>
      </c>
      <c r="C162" s="3">
        <f t="shared" si="6"/>
        <v>10.440000000000001</v>
      </c>
      <c r="D162" s="1">
        <v>11.5</v>
      </c>
      <c r="E162" s="1">
        <v>9.5</v>
      </c>
      <c r="F162" s="4">
        <v>8</v>
      </c>
      <c r="G162" s="4">
        <v>12</v>
      </c>
      <c r="I162" s="4">
        <v>11.2</v>
      </c>
    </row>
    <row r="163" spans="1:13" s="4" customFormat="1" x14ac:dyDescent="0.25">
      <c r="A163" s="1">
        <f t="shared" si="5"/>
        <v>24</v>
      </c>
      <c r="B163" s="6">
        <v>44358</v>
      </c>
      <c r="C163" s="3">
        <f t="shared" si="6"/>
        <v>0</v>
      </c>
      <c r="D163" s="1">
        <v>0</v>
      </c>
      <c r="E163" s="1">
        <v>0</v>
      </c>
      <c r="F163" s="4">
        <v>0</v>
      </c>
      <c r="G163" s="4">
        <v>0</v>
      </c>
      <c r="H163" s="4">
        <v>0</v>
      </c>
      <c r="I163" s="4">
        <v>0</v>
      </c>
    </row>
    <row r="164" spans="1:13" s="4" customFormat="1" x14ac:dyDescent="0.25">
      <c r="A164" s="1"/>
      <c r="B164" s="6">
        <v>44359</v>
      </c>
      <c r="C164" s="3">
        <f t="shared" si="6"/>
        <v>2.42</v>
      </c>
      <c r="D164" s="1">
        <v>1</v>
      </c>
      <c r="E164" s="1">
        <v>4</v>
      </c>
      <c r="F164" s="4">
        <v>0</v>
      </c>
      <c r="G164" s="4">
        <v>2.5</v>
      </c>
      <c r="I164" s="4">
        <v>4.5999999999999996</v>
      </c>
    </row>
    <row r="165" spans="1:13" s="4" customFormat="1" x14ac:dyDescent="0.25">
      <c r="A165" s="1">
        <f t="shared" si="5"/>
        <v>24</v>
      </c>
      <c r="B165" s="6">
        <v>44360</v>
      </c>
      <c r="C165" s="3">
        <f t="shared" si="6"/>
        <v>0</v>
      </c>
      <c r="D165" s="1">
        <v>0</v>
      </c>
      <c r="E165" s="1">
        <v>0</v>
      </c>
      <c r="F165" s="4">
        <v>0</v>
      </c>
      <c r="G165" s="4">
        <v>0</v>
      </c>
      <c r="H165" s="4">
        <v>0</v>
      </c>
      <c r="I165" s="4">
        <v>0</v>
      </c>
    </row>
    <row r="166" spans="1:13" s="4" customFormat="1" x14ac:dyDescent="0.25">
      <c r="A166" s="1">
        <f t="shared" si="5"/>
        <v>25</v>
      </c>
      <c r="B166" s="6">
        <v>44361</v>
      </c>
      <c r="C166" s="3">
        <f t="shared" si="6"/>
        <v>0</v>
      </c>
      <c r="D166" s="1">
        <v>0</v>
      </c>
      <c r="E166" s="1">
        <v>0</v>
      </c>
      <c r="F166" s="4">
        <v>0</v>
      </c>
      <c r="G166" s="4">
        <v>0</v>
      </c>
      <c r="H166" s="4">
        <v>0</v>
      </c>
      <c r="I166" s="4">
        <v>0</v>
      </c>
    </row>
    <row r="167" spans="1:13" s="4" customFormat="1" x14ac:dyDescent="0.25">
      <c r="A167" s="1">
        <f t="shared" si="5"/>
        <v>25</v>
      </c>
      <c r="B167" s="6">
        <v>44362</v>
      </c>
      <c r="C167" s="3">
        <f t="shared" si="6"/>
        <v>16.242000000000001</v>
      </c>
      <c r="D167" s="1">
        <v>13.5</v>
      </c>
      <c r="E167" s="1">
        <v>17</v>
      </c>
      <c r="F167" s="4">
        <v>24</v>
      </c>
      <c r="G167" s="4">
        <v>12</v>
      </c>
      <c r="I167" s="4">
        <v>14.71</v>
      </c>
    </row>
    <row r="168" spans="1:13" s="4" customFormat="1" x14ac:dyDescent="0.25">
      <c r="A168" s="1">
        <f t="shared" si="5"/>
        <v>25</v>
      </c>
      <c r="B168" s="6">
        <v>44363</v>
      </c>
      <c r="C168" s="3">
        <f t="shared" si="6"/>
        <v>0</v>
      </c>
      <c r="D168" s="1">
        <v>0</v>
      </c>
      <c r="E168" s="1">
        <v>0</v>
      </c>
      <c r="F168" s="4">
        <v>0</v>
      </c>
      <c r="G168" s="4">
        <v>0</v>
      </c>
      <c r="H168" s="4">
        <v>0</v>
      </c>
      <c r="I168" s="4">
        <v>0</v>
      </c>
      <c r="M168" s="21"/>
    </row>
    <row r="169" spans="1:13" s="4" customFormat="1" x14ac:dyDescent="0.25">
      <c r="A169" s="1">
        <f t="shared" si="5"/>
        <v>25</v>
      </c>
      <c r="B169" s="6">
        <v>44364</v>
      </c>
      <c r="C169" s="3">
        <f t="shared" si="6"/>
        <v>0</v>
      </c>
      <c r="D169" s="1">
        <v>0</v>
      </c>
      <c r="E169" s="1">
        <v>0</v>
      </c>
      <c r="F169" s="4">
        <v>0</v>
      </c>
      <c r="G169" s="4">
        <v>0</v>
      </c>
      <c r="H169" s="4">
        <v>0</v>
      </c>
      <c r="I169" s="4">
        <v>0</v>
      </c>
    </row>
    <row r="170" spans="1:13" s="4" customFormat="1" x14ac:dyDescent="0.25">
      <c r="A170" s="1">
        <f t="shared" si="5"/>
        <v>25</v>
      </c>
      <c r="B170" s="6">
        <v>44365</v>
      </c>
      <c r="C170" s="3">
        <f t="shared" si="6"/>
        <v>2.2683333333333331</v>
      </c>
      <c r="D170" s="1">
        <v>0</v>
      </c>
      <c r="E170" s="1">
        <v>9.5</v>
      </c>
      <c r="F170" s="4">
        <v>0.5</v>
      </c>
      <c r="G170" s="4">
        <v>0</v>
      </c>
      <c r="H170" s="4">
        <v>0</v>
      </c>
      <c r="I170" s="4">
        <v>3.61</v>
      </c>
    </row>
    <row r="171" spans="1:13" s="4" customFormat="1" x14ac:dyDescent="0.25">
      <c r="A171" s="1">
        <f t="shared" si="5"/>
        <v>25</v>
      </c>
      <c r="B171" s="6">
        <v>44366</v>
      </c>
      <c r="C171" s="3">
        <f t="shared" si="6"/>
        <v>0.66666666666666663</v>
      </c>
      <c r="D171" s="1">
        <v>0</v>
      </c>
      <c r="E171" s="1">
        <v>0</v>
      </c>
      <c r="F171" s="4">
        <v>0.5</v>
      </c>
      <c r="G171" s="4">
        <v>3.5</v>
      </c>
      <c r="H171" s="4">
        <v>0</v>
      </c>
      <c r="I171" s="4">
        <v>0</v>
      </c>
    </row>
    <row r="172" spans="1:13" s="4" customFormat="1" x14ac:dyDescent="0.25">
      <c r="A172" s="1">
        <f t="shared" si="5"/>
        <v>25</v>
      </c>
      <c r="B172" s="6">
        <v>44367</v>
      </c>
      <c r="C172" s="3">
        <f t="shared" si="6"/>
        <v>0</v>
      </c>
      <c r="D172" s="1">
        <v>0</v>
      </c>
      <c r="E172" s="1">
        <v>0</v>
      </c>
      <c r="F172" s="4">
        <v>0</v>
      </c>
      <c r="G172" s="4">
        <v>0</v>
      </c>
      <c r="H172" s="4">
        <v>0</v>
      </c>
      <c r="I172" s="4">
        <v>0</v>
      </c>
    </row>
    <row r="173" spans="1:13" s="4" customFormat="1" x14ac:dyDescent="0.25">
      <c r="A173" s="1">
        <f t="shared" si="5"/>
        <v>26</v>
      </c>
      <c r="B173" s="6">
        <v>44368</v>
      </c>
      <c r="C173" s="3">
        <f t="shared" si="6"/>
        <v>70.381999999999991</v>
      </c>
      <c r="D173" s="1">
        <v>49.5</v>
      </c>
      <c r="E173" s="1">
        <v>84</v>
      </c>
      <c r="F173" s="4">
        <v>88</v>
      </c>
      <c r="G173" s="4">
        <v>52</v>
      </c>
      <c r="I173" s="4">
        <v>78.41</v>
      </c>
    </row>
    <row r="174" spans="1:13" s="4" customFormat="1" x14ac:dyDescent="0.25">
      <c r="A174" s="1">
        <f t="shared" si="5"/>
        <v>26</v>
      </c>
      <c r="B174" s="6">
        <v>44369</v>
      </c>
      <c r="C174" s="3">
        <f t="shared" si="6"/>
        <v>1.7</v>
      </c>
      <c r="D174" s="1">
        <v>1</v>
      </c>
      <c r="E174" s="1">
        <v>2</v>
      </c>
      <c r="F174" s="4">
        <v>0.5</v>
      </c>
      <c r="G174" s="4">
        <v>5</v>
      </c>
      <c r="I174" s="4">
        <v>0</v>
      </c>
    </row>
    <row r="175" spans="1:13" s="4" customFormat="1" x14ac:dyDescent="0.25">
      <c r="A175" s="1">
        <f t="shared" si="5"/>
        <v>26</v>
      </c>
      <c r="B175" s="6">
        <v>44370</v>
      </c>
      <c r="C175" s="3">
        <f t="shared" si="6"/>
        <v>3.2619999999999996</v>
      </c>
      <c r="D175" s="1">
        <v>3.5</v>
      </c>
      <c r="E175" s="1">
        <v>6</v>
      </c>
      <c r="F175" s="4">
        <v>1</v>
      </c>
      <c r="G175" s="4">
        <v>3.5</v>
      </c>
      <c r="I175" s="4">
        <v>2.31</v>
      </c>
    </row>
    <row r="176" spans="1:13" s="4" customFormat="1" x14ac:dyDescent="0.25">
      <c r="A176" s="1">
        <f t="shared" si="5"/>
        <v>26</v>
      </c>
      <c r="B176" s="6">
        <v>44371</v>
      </c>
      <c r="C176" s="3">
        <f t="shared" si="6"/>
        <v>0</v>
      </c>
      <c r="D176" s="1">
        <v>0</v>
      </c>
      <c r="E176" s="1">
        <v>0</v>
      </c>
      <c r="F176" s="4">
        <v>0</v>
      </c>
      <c r="G176" s="4">
        <v>0</v>
      </c>
      <c r="H176" s="4">
        <v>0</v>
      </c>
      <c r="I176" s="4">
        <v>0</v>
      </c>
    </row>
    <row r="177" spans="1:11" s="4" customFormat="1" x14ac:dyDescent="0.25">
      <c r="A177" s="1">
        <f t="shared" si="5"/>
        <v>26</v>
      </c>
      <c r="B177" s="6">
        <v>44372</v>
      </c>
      <c r="C177" s="3">
        <f t="shared" si="6"/>
        <v>9.1399999999999988</v>
      </c>
      <c r="D177" s="1">
        <v>5.5</v>
      </c>
      <c r="E177" s="1">
        <v>14</v>
      </c>
      <c r="F177" s="4">
        <v>10</v>
      </c>
      <c r="G177" s="4">
        <v>5.3</v>
      </c>
      <c r="I177" s="4">
        <v>10.9</v>
      </c>
    </row>
    <row r="178" spans="1:11" s="4" customFormat="1" x14ac:dyDescent="0.25">
      <c r="A178" s="1">
        <f t="shared" si="5"/>
        <v>26</v>
      </c>
      <c r="B178" s="6">
        <v>44373</v>
      </c>
      <c r="C178" s="3">
        <f t="shared" si="6"/>
        <v>16.257999999999999</v>
      </c>
      <c r="D178" s="1">
        <v>11</v>
      </c>
      <c r="E178" s="1">
        <v>18</v>
      </c>
      <c r="F178" s="4">
        <v>25</v>
      </c>
      <c r="G178" s="4">
        <v>12</v>
      </c>
      <c r="I178" s="4">
        <v>15.29</v>
      </c>
    </row>
    <row r="179" spans="1:11" s="4" customFormat="1" x14ac:dyDescent="0.25">
      <c r="A179" s="1">
        <f t="shared" si="5"/>
        <v>26</v>
      </c>
      <c r="B179" s="6">
        <v>44374</v>
      </c>
      <c r="C179" s="3">
        <f t="shared" si="6"/>
        <v>0</v>
      </c>
      <c r="D179" s="1">
        <v>0</v>
      </c>
      <c r="E179" s="1">
        <v>0</v>
      </c>
      <c r="F179" s="4">
        <v>0</v>
      </c>
      <c r="G179" s="4">
        <v>0</v>
      </c>
      <c r="H179" s="4">
        <v>0</v>
      </c>
      <c r="I179" s="4">
        <v>0</v>
      </c>
    </row>
    <row r="180" spans="1:11" s="4" customFormat="1" x14ac:dyDescent="0.25">
      <c r="A180" s="1">
        <f t="shared" si="5"/>
        <v>27</v>
      </c>
      <c r="B180" s="6">
        <v>44375</v>
      </c>
      <c r="C180" s="3">
        <f t="shared" si="6"/>
        <v>0</v>
      </c>
      <c r="D180" s="1">
        <v>0</v>
      </c>
      <c r="E180" s="1">
        <v>0</v>
      </c>
      <c r="F180" s="4">
        <v>0</v>
      </c>
      <c r="G180" s="4">
        <v>0</v>
      </c>
      <c r="H180" s="4">
        <v>0</v>
      </c>
      <c r="I180" s="4">
        <v>0</v>
      </c>
    </row>
    <row r="181" spans="1:11" s="4" customFormat="1" x14ac:dyDescent="0.25">
      <c r="A181" s="1">
        <f t="shared" si="5"/>
        <v>27</v>
      </c>
      <c r="B181" s="6">
        <v>44376</v>
      </c>
      <c r="C181" s="3">
        <f t="shared" si="6"/>
        <v>0</v>
      </c>
      <c r="D181" s="1">
        <v>0</v>
      </c>
      <c r="E181" s="1">
        <v>0</v>
      </c>
      <c r="F181" s="4">
        <v>0</v>
      </c>
      <c r="G181" s="4">
        <v>0</v>
      </c>
      <c r="H181" s="4">
        <v>0</v>
      </c>
      <c r="I181" s="4">
        <v>0</v>
      </c>
    </row>
    <row r="182" spans="1:11" s="14" customFormat="1" ht="15.75" thickBot="1" x14ac:dyDescent="0.3">
      <c r="A182" s="13">
        <f t="shared" si="5"/>
        <v>27</v>
      </c>
      <c r="B182" s="6">
        <v>44377</v>
      </c>
      <c r="C182" s="3">
        <f t="shared" si="6"/>
        <v>0</v>
      </c>
      <c r="D182" s="1">
        <v>0</v>
      </c>
      <c r="E182" s="1">
        <v>0</v>
      </c>
      <c r="F182" s="4">
        <v>0</v>
      </c>
      <c r="G182" s="4">
        <v>0</v>
      </c>
      <c r="H182" s="4">
        <v>0</v>
      </c>
      <c r="I182" s="4">
        <v>0</v>
      </c>
      <c r="J182" s="4"/>
      <c r="K182" s="20">
        <f>SUM(C153:C182)</f>
        <v>178.08933333333331</v>
      </c>
    </row>
    <row r="183" spans="1:11" s="4" customFormat="1" ht="15.75" thickTop="1" x14ac:dyDescent="0.25">
      <c r="A183" s="1">
        <f t="shared" si="5"/>
        <v>27</v>
      </c>
      <c r="B183" s="6">
        <v>44378</v>
      </c>
      <c r="C183" s="3">
        <f t="shared" si="6"/>
        <v>16.080000000000002</v>
      </c>
      <c r="D183" s="1">
        <v>11</v>
      </c>
      <c r="E183" s="1">
        <v>9.5</v>
      </c>
      <c r="F183" s="4">
        <v>34</v>
      </c>
      <c r="G183" s="4">
        <v>13</v>
      </c>
      <c r="I183" s="4">
        <v>12.9</v>
      </c>
    </row>
    <row r="184" spans="1:11" s="4" customFormat="1" x14ac:dyDescent="0.25">
      <c r="A184" s="1">
        <f t="shared" si="5"/>
        <v>27</v>
      </c>
      <c r="B184" s="6">
        <v>44379</v>
      </c>
      <c r="C184" s="3">
        <f t="shared" si="6"/>
        <v>0</v>
      </c>
      <c r="D184" s="1">
        <v>0</v>
      </c>
      <c r="E184" s="1">
        <v>0</v>
      </c>
      <c r="F184" s="4">
        <v>0</v>
      </c>
      <c r="G184" s="4">
        <v>0</v>
      </c>
      <c r="H184" s="4">
        <v>0</v>
      </c>
      <c r="I184" s="4">
        <v>0</v>
      </c>
    </row>
    <row r="185" spans="1:11" s="4" customFormat="1" x14ac:dyDescent="0.25">
      <c r="A185" s="1">
        <f t="shared" si="5"/>
        <v>27</v>
      </c>
      <c r="B185" s="6">
        <v>44380</v>
      </c>
      <c r="C185" s="3">
        <f t="shared" si="6"/>
        <v>2.56</v>
      </c>
      <c r="D185" s="1">
        <v>2</v>
      </c>
      <c r="E185" s="1">
        <v>0.5</v>
      </c>
      <c r="F185" s="4">
        <v>8</v>
      </c>
      <c r="G185" s="4">
        <v>2</v>
      </c>
      <c r="I185" s="4">
        <v>0.3</v>
      </c>
    </row>
    <row r="186" spans="1:11" s="4" customFormat="1" x14ac:dyDescent="0.25">
      <c r="A186" s="1">
        <f t="shared" si="5"/>
        <v>27</v>
      </c>
      <c r="B186" s="6">
        <v>44381</v>
      </c>
      <c r="C186" s="3">
        <f t="shared" si="6"/>
        <v>0</v>
      </c>
      <c r="D186" s="1">
        <v>0</v>
      </c>
      <c r="E186" s="1">
        <v>0</v>
      </c>
      <c r="F186" s="4">
        <v>0</v>
      </c>
      <c r="G186" s="4">
        <v>0</v>
      </c>
      <c r="H186" s="4">
        <v>0</v>
      </c>
      <c r="I186" s="4">
        <v>0</v>
      </c>
    </row>
    <row r="187" spans="1:11" s="4" customFormat="1" x14ac:dyDescent="0.25">
      <c r="A187" s="1">
        <f t="shared" si="5"/>
        <v>28</v>
      </c>
      <c r="B187" s="6">
        <v>44382</v>
      </c>
      <c r="C187" s="3">
        <f t="shared" si="6"/>
        <v>5.2166666666666668</v>
      </c>
      <c r="D187" s="1">
        <v>5.5</v>
      </c>
      <c r="E187" s="1">
        <v>7</v>
      </c>
      <c r="F187" s="4">
        <v>12.5</v>
      </c>
      <c r="G187" s="4">
        <v>3</v>
      </c>
      <c r="H187" s="4">
        <v>0</v>
      </c>
      <c r="I187" s="4">
        <v>3.3</v>
      </c>
    </row>
    <row r="188" spans="1:11" s="4" customFormat="1" x14ac:dyDescent="0.25">
      <c r="A188" s="1">
        <f t="shared" si="5"/>
        <v>28</v>
      </c>
      <c r="B188" s="6">
        <v>44383</v>
      </c>
      <c r="C188" s="3">
        <f t="shared" si="6"/>
        <v>0</v>
      </c>
      <c r="D188" s="1">
        <v>0</v>
      </c>
      <c r="E188" s="1">
        <v>0</v>
      </c>
      <c r="F188" s="4">
        <v>0</v>
      </c>
      <c r="G188" s="4">
        <v>0</v>
      </c>
      <c r="H188" s="4">
        <v>0</v>
      </c>
      <c r="I188" s="4">
        <v>0</v>
      </c>
      <c r="K188" s="21"/>
    </row>
    <row r="189" spans="1:11" s="4" customFormat="1" x14ac:dyDescent="0.25">
      <c r="A189" s="1">
        <f t="shared" si="5"/>
        <v>28</v>
      </c>
      <c r="B189" s="6">
        <v>44384</v>
      </c>
      <c r="C189" s="3">
        <f t="shared" si="6"/>
        <v>0</v>
      </c>
      <c r="D189" s="1">
        <v>0</v>
      </c>
      <c r="E189" s="1">
        <v>0</v>
      </c>
      <c r="F189" s="4">
        <v>0</v>
      </c>
      <c r="G189" s="4">
        <v>0</v>
      </c>
      <c r="H189" s="4">
        <v>0</v>
      </c>
      <c r="I189" s="4">
        <v>0</v>
      </c>
    </row>
    <row r="190" spans="1:11" s="4" customFormat="1" x14ac:dyDescent="0.25">
      <c r="A190" s="1">
        <f t="shared" si="5"/>
        <v>28</v>
      </c>
      <c r="B190" s="6">
        <v>44385</v>
      </c>
      <c r="C190" s="3">
        <f t="shared" si="6"/>
        <v>0</v>
      </c>
      <c r="D190" s="1">
        <v>0</v>
      </c>
      <c r="E190" s="1">
        <v>0</v>
      </c>
      <c r="F190" s="4">
        <v>0</v>
      </c>
      <c r="G190" s="4">
        <v>0</v>
      </c>
      <c r="H190" s="4">
        <v>0</v>
      </c>
      <c r="I190" s="4">
        <v>0</v>
      </c>
    </row>
    <row r="191" spans="1:11" s="4" customFormat="1" x14ac:dyDescent="0.25">
      <c r="A191" s="1">
        <f t="shared" si="5"/>
        <v>28</v>
      </c>
      <c r="B191" s="6">
        <v>44386</v>
      </c>
      <c r="C191" s="3">
        <f t="shared" si="6"/>
        <v>3.258</v>
      </c>
      <c r="D191" s="1">
        <v>5</v>
      </c>
      <c r="E191" s="1">
        <v>1.1000000000000001</v>
      </c>
      <c r="F191" s="4">
        <v>0.5</v>
      </c>
      <c r="G191" s="4">
        <v>7</v>
      </c>
      <c r="I191" s="4">
        <v>2.69</v>
      </c>
    </row>
    <row r="192" spans="1:11" s="4" customFormat="1" x14ac:dyDescent="0.25">
      <c r="A192" s="1">
        <f t="shared" si="5"/>
        <v>28</v>
      </c>
      <c r="B192" s="6">
        <v>44387</v>
      </c>
      <c r="C192" s="3">
        <f t="shared" si="6"/>
        <v>0</v>
      </c>
      <c r="D192" s="1">
        <v>0</v>
      </c>
      <c r="E192" s="1">
        <v>0</v>
      </c>
      <c r="F192" s="4">
        <v>0</v>
      </c>
      <c r="G192" s="4">
        <v>0</v>
      </c>
      <c r="H192" s="4">
        <v>0</v>
      </c>
      <c r="I192" s="4">
        <v>0</v>
      </c>
    </row>
    <row r="193" spans="1:9" s="4" customFormat="1" x14ac:dyDescent="0.25">
      <c r="A193" s="1">
        <f t="shared" si="5"/>
        <v>28</v>
      </c>
      <c r="B193" s="6">
        <v>44388</v>
      </c>
      <c r="C193" s="3">
        <f t="shared" si="6"/>
        <v>3.0200000000000005</v>
      </c>
      <c r="D193" s="1">
        <v>1.5</v>
      </c>
      <c r="E193" s="1">
        <v>5.7</v>
      </c>
      <c r="F193" s="4">
        <v>0.5</v>
      </c>
      <c r="G193" s="4">
        <v>1.2</v>
      </c>
      <c r="I193" s="4">
        <v>6.2</v>
      </c>
    </row>
    <row r="194" spans="1:9" s="4" customFormat="1" x14ac:dyDescent="0.25">
      <c r="A194" s="1">
        <f t="shared" ref="A194:A257" si="7">WEEKNUM($B194,2)</f>
        <v>29</v>
      </c>
      <c r="B194" s="6">
        <v>44389</v>
      </c>
      <c r="C194" s="3">
        <f t="shared" si="6"/>
        <v>8.92</v>
      </c>
      <c r="D194" s="1">
        <v>15.5</v>
      </c>
      <c r="E194" s="1">
        <v>3.5</v>
      </c>
      <c r="F194" s="4">
        <v>5.5</v>
      </c>
      <c r="G194" s="4">
        <v>14</v>
      </c>
      <c r="I194" s="4">
        <v>6.1</v>
      </c>
    </row>
    <row r="195" spans="1:9" s="4" customFormat="1" x14ac:dyDescent="0.25">
      <c r="A195" s="1">
        <f t="shared" si="7"/>
        <v>29</v>
      </c>
      <c r="B195" s="6">
        <v>44390</v>
      </c>
      <c r="C195" s="3">
        <f t="shared" ref="C195:C258" si="8">AVERAGE(D195:J195)</f>
        <v>3.0524999999999998</v>
      </c>
      <c r="D195" s="1">
        <v>1</v>
      </c>
      <c r="E195" s="1">
        <v>6.2</v>
      </c>
      <c r="G195" s="4">
        <v>1.4</v>
      </c>
      <c r="I195" s="4">
        <v>3.61</v>
      </c>
    </row>
    <row r="196" spans="1:9" s="4" customFormat="1" x14ac:dyDescent="0.25">
      <c r="A196" s="1">
        <f t="shared" si="7"/>
        <v>29</v>
      </c>
      <c r="B196" s="6">
        <v>44391</v>
      </c>
      <c r="C196" s="3">
        <f t="shared" si="8"/>
        <v>0</v>
      </c>
      <c r="D196" s="1">
        <v>0</v>
      </c>
      <c r="E196" s="1">
        <v>0</v>
      </c>
      <c r="F196" s="4">
        <v>0</v>
      </c>
      <c r="G196" s="4">
        <v>0</v>
      </c>
      <c r="H196" s="4">
        <v>0</v>
      </c>
      <c r="I196" s="4">
        <v>0</v>
      </c>
    </row>
    <row r="197" spans="1:9" s="4" customFormat="1" x14ac:dyDescent="0.25">
      <c r="A197" s="1">
        <f t="shared" si="7"/>
        <v>29</v>
      </c>
      <c r="B197" s="6">
        <v>44392</v>
      </c>
      <c r="C197" s="3">
        <f t="shared" si="8"/>
        <v>31.95</v>
      </c>
      <c r="D197" s="1">
        <v>31</v>
      </c>
      <c r="E197" s="1">
        <v>30</v>
      </c>
      <c r="G197" s="4">
        <v>30</v>
      </c>
      <c r="I197" s="4">
        <v>36.799999999999997</v>
      </c>
    </row>
    <row r="198" spans="1:9" s="4" customFormat="1" x14ac:dyDescent="0.25">
      <c r="A198" s="1">
        <f t="shared" si="7"/>
        <v>29</v>
      </c>
      <c r="B198" s="6">
        <v>44393</v>
      </c>
      <c r="C198" s="3">
        <f t="shared" si="8"/>
        <v>0</v>
      </c>
      <c r="D198" s="1">
        <v>0</v>
      </c>
      <c r="E198" s="1">
        <v>0</v>
      </c>
      <c r="F198" s="4">
        <v>0</v>
      </c>
      <c r="G198" s="4">
        <v>0</v>
      </c>
      <c r="H198" s="4">
        <v>0</v>
      </c>
      <c r="I198" s="4">
        <v>0</v>
      </c>
    </row>
    <row r="199" spans="1:9" s="4" customFormat="1" x14ac:dyDescent="0.25">
      <c r="A199" s="1">
        <f t="shared" si="7"/>
        <v>29</v>
      </c>
      <c r="B199" s="6">
        <v>44394</v>
      </c>
      <c r="C199" s="3">
        <f t="shared" si="8"/>
        <v>16.25</v>
      </c>
      <c r="D199" s="1">
        <v>15</v>
      </c>
      <c r="E199" s="1">
        <v>16</v>
      </c>
      <c r="G199" s="4">
        <v>19</v>
      </c>
      <c r="I199" s="4">
        <v>15</v>
      </c>
    </row>
    <row r="200" spans="1:9" s="4" customFormat="1" x14ac:dyDescent="0.25">
      <c r="A200" s="1">
        <f t="shared" si="7"/>
        <v>29</v>
      </c>
      <c r="B200" s="6">
        <v>44395</v>
      </c>
      <c r="C200" s="3">
        <f t="shared" si="8"/>
        <v>0</v>
      </c>
      <c r="D200" s="1">
        <v>0</v>
      </c>
      <c r="E200" s="1">
        <v>0</v>
      </c>
      <c r="F200" s="4">
        <v>0</v>
      </c>
      <c r="G200" s="4">
        <v>0</v>
      </c>
      <c r="H200" s="4">
        <v>0</v>
      </c>
      <c r="I200" s="4">
        <v>0</v>
      </c>
    </row>
    <row r="201" spans="1:9" s="4" customFormat="1" x14ac:dyDescent="0.25">
      <c r="A201" s="1">
        <f t="shared" si="7"/>
        <v>30</v>
      </c>
      <c r="B201" s="6">
        <v>44396</v>
      </c>
      <c r="C201" s="3">
        <f t="shared" si="8"/>
        <v>0</v>
      </c>
      <c r="D201" s="1">
        <v>0</v>
      </c>
      <c r="E201" s="1">
        <v>0</v>
      </c>
      <c r="F201" s="4">
        <v>0</v>
      </c>
      <c r="G201" s="4">
        <v>0</v>
      </c>
      <c r="H201" s="4">
        <v>0</v>
      </c>
      <c r="I201" s="4">
        <v>0</v>
      </c>
    </row>
    <row r="202" spans="1:9" s="4" customFormat="1" x14ac:dyDescent="0.25">
      <c r="A202" s="1">
        <f t="shared" si="7"/>
        <v>30</v>
      </c>
      <c r="B202" s="6">
        <v>44397</v>
      </c>
      <c r="C202" s="3">
        <f t="shared" si="8"/>
        <v>0</v>
      </c>
      <c r="D202" s="1">
        <v>0</v>
      </c>
      <c r="E202" s="1">
        <v>0</v>
      </c>
      <c r="F202" s="4">
        <v>0</v>
      </c>
      <c r="G202" s="4">
        <v>0</v>
      </c>
      <c r="H202" s="4">
        <v>0</v>
      </c>
      <c r="I202" s="4">
        <v>0</v>
      </c>
    </row>
    <row r="203" spans="1:9" s="4" customFormat="1" x14ac:dyDescent="0.25">
      <c r="A203" s="1">
        <f t="shared" si="7"/>
        <v>30</v>
      </c>
      <c r="B203" s="6">
        <v>44398</v>
      </c>
      <c r="C203" s="3">
        <f t="shared" si="8"/>
        <v>0</v>
      </c>
      <c r="D203" s="1">
        <v>0</v>
      </c>
      <c r="E203" s="1">
        <v>0</v>
      </c>
      <c r="F203" s="4">
        <v>0</v>
      </c>
      <c r="G203" s="4">
        <v>0</v>
      </c>
      <c r="H203" s="4">
        <v>0</v>
      </c>
      <c r="I203" s="4">
        <v>0</v>
      </c>
    </row>
    <row r="204" spans="1:9" s="4" customFormat="1" x14ac:dyDescent="0.25">
      <c r="A204" s="1">
        <f t="shared" si="7"/>
        <v>30</v>
      </c>
      <c r="B204" s="6">
        <v>44399</v>
      </c>
      <c r="C204" s="3">
        <f t="shared" si="8"/>
        <v>15.977499999999999</v>
      </c>
      <c r="D204" s="1">
        <v>27.5</v>
      </c>
      <c r="E204" s="1">
        <v>9</v>
      </c>
      <c r="G204" s="4">
        <v>19</v>
      </c>
      <c r="I204" s="4">
        <v>8.41</v>
      </c>
    </row>
    <row r="205" spans="1:9" s="4" customFormat="1" x14ac:dyDescent="0.25">
      <c r="A205" s="1">
        <f t="shared" si="7"/>
        <v>30</v>
      </c>
      <c r="B205" s="6">
        <v>44400</v>
      </c>
      <c r="C205" s="3">
        <f t="shared" si="8"/>
        <v>24.95</v>
      </c>
      <c r="D205" s="1">
        <v>41.5</v>
      </c>
      <c r="E205" s="1">
        <v>16</v>
      </c>
      <c r="G205" s="4">
        <v>20</v>
      </c>
      <c r="I205" s="4">
        <v>22.3</v>
      </c>
    </row>
    <row r="206" spans="1:9" s="4" customFormat="1" x14ac:dyDescent="0.25">
      <c r="A206" s="1">
        <f t="shared" si="7"/>
        <v>30</v>
      </c>
      <c r="B206" s="6">
        <v>44401</v>
      </c>
      <c r="C206" s="3">
        <f t="shared" si="8"/>
        <v>0</v>
      </c>
      <c r="D206" s="1">
        <v>0</v>
      </c>
      <c r="E206" s="1">
        <v>0</v>
      </c>
      <c r="F206" s="4">
        <v>0</v>
      </c>
      <c r="G206" s="4">
        <v>0</v>
      </c>
      <c r="H206" s="4">
        <v>0</v>
      </c>
      <c r="I206" s="4">
        <v>0</v>
      </c>
    </row>
    <row r="207" spans="1:9" s="4" customFormat="1" x14ac:dyDescent="0.25">
      <c r="A207" s="1">
        <f t="shared" si="7"/>
        <v>30</v>
      </c>
      <c r="B207" s="6">
        <v>44402</v>
      </c>
      <c r="C207" s="3">
        <f t="shared" si="8"/>
        <v>28.618000000000002</v>
      </c>
      <c r="D207" s="1">
        <v>23.5</v>
      </c>
      <c r="E207" s="1">
        <v>35</v>
      </c>
      <c r="F207" s="4">
        <v>25</v>
      </c>
      <c r="G207" s="4">
        <v>25</v>
      </c>
      <c r="I207" s="4">
        <v>34.590000000000003</v>
      </c>
    </row>
    <row r="208" spans="1:9" s="4" customFormat="1" x14ac:dyDescent="0.25">
      <c r="A208" s="1">
        <f t="shared" si="7"/>
        <v>31</v>
      </c>
      <c r="B208" s="6">
        <v>44403</v>
      </c>
      <c r="C208" s="3">
        <f t="shared" si="8"/>
        <v>0</v>
      </c>
      <c r="D208" s="1">
        <v>0</v>
      </c>
      <c r="E208" s="1">
        <v>0</v>
      </c>
      <c r="F208" s="4">
        <v>0</v>
      </c>
      <c r="G208" s="4">
        <v>0</v>
      </c>
      <c r="H208" s="4">
        <v>0</v>
      </c>
      <c r="I208" s="4">
        <v>0</v>
      </c>
    </row>
    <row r="209" spans="1:11" s="4" customFormat="1" x14ac:dyDescent="0.25">
      <c r="A209" s="1">
        <f t="shared" si="7"/>
        <v>31</v>
      </c>
      <c r="B209" s="6">
        <v>44404</v>
      </c>
      <c r="C209" s="3">
        <f t="shared" si="8"/>
        <v>0</v>
      </c>
      <c r="D209" s="1">
        <v>0</v>
      </c>
      <c r="E209" s="1">
        <v>0</v>
      </c>
      <c r="F209" s="4">
        <v>0</v>
      </c>
      <c r="G209" s="4">
        <v>0</v>
      </c>
      <c r="H209" s="4">
        <v>0</v>
      </c>
      <c r="I209" s="4">
        <v>0</v>
      </c>
    </row>
    <row r="210" spans="1:11" s="4" customFormat="1" x14ac:dyDescent="0.25">
      <c r="A210" s="1">
        <f t="shared" si="7"/>
        <v>31</v>
      </c>
      <c r="B210" s="6">
        <v>44405</v>
      </c>
      <c r="C210" s="3">
        <f t="shared" si="8"/>
        <v>113.04</v>
      </c>
      <c r="D210" s="1">
        <v>116</v>
      </c>
      <c r="E210" s="1">
        <v>97</v>
      </c>
      <c r="F210" s="4">
        <v>134</v>
      </c>
      <c r="G210" s="4">
        <v>112</v>
      </c>
      <c r="I210" s="4">
        <v>106.2</v>
      </c>
    </row>
    <row r="211" spans="1:11" s="4" customFormat="1" x14ac:dyDescent="0.25">
      <c r="A211" s="1">
        <f t="shared" si="7"/>
        <v>31</v>
      </c>
      <c r="B211" s="6">
        <v>44406</v>
      </c>
      <c r="C211" s="3">
        <f t="shared" si="8"/>
        <v>22.637999999999998</v>
      </c>
      <c r="D211" s="1">
        <v>21</v>
      </c>
      <c r="E211" s="1">
        <v>18</v>
      </c>
      <c r="F211" s="4">
        <v>16</v>
      </c>
      <c r="G211" s="4">
        <v>30</v>
      </c>
      <c r="I211" s="4">
        <v>28.19</v>
      </c>
    </row>
    <row r="212" spans="1:11" s="4" customFormat="1" x14ac:dyDescent="0.25">
      <c r="A212" s="18"/>
      <c r="B212" s="6">
        <v>44407</v>
      </c>
      <c r="C212" s="3">
        <f t="shared" si="8"/>
        <v>0</v>
      </c>
      <c r="D212" s="1">
        <v>0</v>
      </c>
      <c r="E212" s="1">
        <v>0</v>
      </c>
      <c r="F212" s="4">
        <v>0</v>
      </c>
      <c r="G212" s="4">
        <v>0</v>
      </c>
      <c r="H212" s="4">
        <v>0</v>
      </c>
      <c r="I212" s="4">
        <v>0</v>
      </c>
    </row>
    <row r="213" spans="1:11" s="25" customFormat="1" ht="15.75" thickBot="1" x14ac:dyDescent="0.3">
      <c r="A213" s="22">
        <f t="shared" si="7"/>
        <v>31</v>
      </c>
      <c r="B213" s="6">
        <v>44408</v>
      </c>
      <c r="C213" s="3">
        <f t="shared" si="8"/>
        <v>25.574999999999999</v>
      </c>
      <c r="D213" s="1"/>
      <c r="E213" s="1">
        <v>24</v>
      </c>
      <c r="F213" s="4">
        <v>14</v>
      </c>
      <c r="G213" s="4">
        <v>28</v>
      </c>
      <c r="H213" s="4"/>
      <c r="I213" s="4">
        <v>36.299999999999997</v>
      </c>
      <c r="J213" s="4"/>
      <c r="K213" s="24">
        <f>SUM(C183:C213)</f>
        <v>321.10566666666665</v>
      </c>
    </row>
    <row r="214" spans="1:11" s="4" customFormat="1" x14ac:dyDescent="0.25">
      <c r="A214" s="1">
        <f t="shared" si="7"/>
        <v>31</v>
      </c>
      <c r="B214" s="6">
        <v>44409</v>
      </c>
      <c r="C214" s="3">
        <f t="shared" si="8"/>
        <v>0</v>
      </c>
      <c r="D214" s="1">
        <v>0</v>
      </c>
      <c r="E214" s="1">
        <v>0</v>
      </c>
      <c r="F214" s="4">
        <v>0</v>
      </c>
      <c r="G214" s="4">
        <v>0</v>
      </c>
      <c r="I214" s="4">
        <v>0</v>
      </c>
    </row>
    <row r="215" spans="1:11" s="4" customFormat="1" x14ac:dyDescent="0.25">
      <c r="A215" s="1">
        <f t="shared" si="7"/>
        <v>32</v>
      </c>
      <c r="B215" s="6">
        <v>44410</v>
      </c>
      <c r="C215" s="3">
        <f t="shared" si="8"/>
        <v>0</v>
      </c>
      <c r="D215" s="1">
        <v>0</v>
      </c>
      <c r="E215" s="1">
        <v>0</v>
      </c>
      <c r="F215" s="4">
        <v>0</v>
      </c>
      <c r="G215" s="4">
        <v>0</v>
      </c>
      <c r="I215" s="4">
        <v>0</v>
      </c>
    </row>
    <row r="216" spans="1:11" s="4" customFormat="1" x14ac:dyDescent="0.25">
      <c r="A216" s="1">
        <f t="shared" si="7"/>
        <v>32</v>
      </c>
      <c r="B216" s="6">
        <v>44411</v>
      </c>
      <c r="C216" s="3">
        <f t="shared" si="8"/>
        <v>3.3019999999999996</v>
      </c>
      <c r="D216" s="1">
        <v>5</v>
      </c>
      <c r="E216" s="1">
        <v>4.5</v>
      </c>
      <c r="F216" s="4">
        <v>3</v>
      </c>
      <c r="G216" s="4">
        <v>2</v>
      </c>
      <c r="I216" s="4">
        <v>2.0099999999999998</v>
      </c>
    </row>
    <row r="217" spans="1:11" s="4" customFormat="1" x14ac:dyDescent="0.25">
      <c r="A217" s="1">
        <f t="shared" si="7"/>
        <v>32</v>
      </c>
      <c r="B217" s="6">
        <v>44412</v>
      </c>
      <c r="C217" s="3">
        <f t="shared" si="8"/>
        <v>18.84</v>
      </c>
      <c r="D217" s="1">
        <v>13</v>
      </c>
      <c r="E217" s="1">
        <v>25</v>
      </c>
      <c r="F217" s="4">
        <v>15</v>
      </c>
      <c r="G217" s="4">
        <v>16</v>
      </c>
      <c r="I217" s="4">
        <v>25.2</v>
      </c>
    </row>
    <row r="218" spans="1:11" s="4" customFormat="1" x14ac:dyDescent="0.25">
      <c r="A218" s="1">
        <f t="shared" si="7"/>
        <v>32</v>
      </c>
      <c r="B218" s="6">
        <v>44413</v>
      </c>
      <c r="C218" s="3">
        <f t="shared" si="8"/>
        <v>0.39</v>
      </c>
      <c r="D218" s="1">
        <v>0.5</v>
      </c>
      <c r="E218" s="1">
        <v>0.5</v>
      </c>
      <c r="F218" s="4">
        <v>0.25</v>
      </c>
      <c r="G218" s="4">
        <v>0.5</v>
      </c>
      <c r="I218" s="4">
        <v>0.2</v>
      </c>
    </row>
    <row r="219" spans="1:11" s="4" customFormat="1" x14ac:dyDescent="0.25">
      <c r="A219" s="1">
        <f t="shared" si="7"/>
        <v>32</v>
      </c>
      <c r="B219" s="6">
        <v>44414</v>
      </c>
      <c r="C219" s="3">
        <f t="shared" si="8"/>
        <v>2.1019999999999999</v>
      </c>
      <c r="D219" s="1">
        <v>4.5</v>
      </c>
      <c r="E219" s="1">
        <v>1.5</v>
      </c>
      <c r="F219" s="4">
        <v>3.5</v>
      </c>
      <c r="G219" s="4">
        <v>0.5</v>
      </c>
      <c r="I219" s="4">
        <v>0.51</v>
      </c>
    </row>
    <row r="220" spans="1:11" s="4" customFormat="1" x14ac:dyDescent="0.25">
      <c r="A220" s="1">
        <f t="shared" si="7"/>
        <v>32</v>
      </c>
      <c r="B220" s="6">
        <v>44415</v>
      </c>
      <c r="C220" s="3">
        <f t="shared" si="8"/>
        <v>10.618</v>
      </c>
      <c r="D220" s="1">
        <v>11.5</v>
      </c>
      <c r="E220" s="1">
        <v>11</v>
      </c>
      <c r="F220" s="4">
        <v>13</v>
      </c>
      <c r="G220" s="4">
        <v>10</v>
      </c>
      <c r="I220" s="4">
        <v>7.59</v>
      </c>
    </row>
    <row r="221" spans="1:11" s="4" customFormat="1" x14ac:dyDescent="0.25">
      <c r="A221" s="1">
        <f t="shared" si="7"/>
        <v>32</v>
      </c>
      <c r="B221" s="6">
        <v>44416</v>
      </c>
      <c r="C221" s="3">
        <f t="shared" si="8"/>
        <v>5.0439999999999996</v>
      </c>
      <c r="D221" s="1">
        <v>3</v>
      </c>
      <c r="E221" s="1">
        <v>4</v>
      </c>
      <c r="F221" s="4">
        <v>2.5</v>
      </c>
      <c r="G221" s="4">
        <v>6.5</v>
      </c>
      <c r="I221" s="4">
        <v>9.2200000000000006</v>
      </c>
    </row>
    <row r="222" spans="1:11" s="4" customFormat="1" x14ac:dyDescent="0.25">
      <c r="A222" s="1">
        <f t="shared" si="7"/>
        <v>33</v>
      </c>
      <c r="B222" s="6">
        <v>44417</v>
      </c>
      <c r="C222" s="3">
        <f t="shared" si="8"/>
        <v>0</v>
      </c>
      <c r="D222" s="1">
        <v>0</v>
      </c>
      <c r="E222" s="1">
        <v>0</v>
      </c>
      <c r="F222" s="4">
        <v>0</v>
      </c>
      <c r="G222" s="4">
        <v>0</v>
      </c>
      <c r="I222" s="4">
        <v>0</v>
      </c>
    </row>
    <row r="223" spans="1:11" s="4" customFormat="1" x14ac:dyDescent="0.25">
      <c r="A223" s="1">
        <f t="shared" si="7"/>
        <v>33</v>
      </c>
      <c r="B223" s="6">
        <v>44418</v>
      </c>
      <c r="C223" s="3">
        <f t="shared" si="8"/>
        <v>30.46</v>
      </c>
      <c r="D223" s="1">
        <v>25</v>
      </c>
      <c r="E223" s="1">
        <v>26</v>
      </c>
      <c r="F223" s="4">
        <v>28</v>
      </c>
      <c r="G223" s="4">
        <v>35</v>
      </c>
      <c r="I223" s="4">
        <v>38.299999999999997</v>
      </c>
      <c r="K223" s="21"/>
    </row>
    <row r="224" spans="1:11" s="4" customFormat="1" x14ac:dyDescent="0.25">
      <c r="A224" s="1">
        <f t="shared" si="7"/>
        <v>33</v>
      </c>
      <c r="B224" s="6">
        <v>44419</v>
      </c>
      <c r="C224" s="3">
        <f t="shared" si="8"/>
        <v>11.84</v>
      </c>
      <c r="D224" s="1">
        <v>12.5</v>
      </c>
      <c r="E224" s="1">
        <v>7.5</v>
      </c>
      <c r="F224" s="4">
        <v>15</v>
      </c>
      <c r="G224" s="4">
        <v>11.5</v>
      </c>
      <c r="I224" s="4">
        <v>12.7</v>
      </c>
    </row>
    <row r="225" spans="1:10" s="4" customFormat="1" x14ac:dyDescent="0.25">
      <c r="A225" s="1">
        <f t="shared" si="7"/>
        <v>33</v>
      </c>
      <c r="B225" s="6">
        <v>44420</v>
      </c>
      <c r="C225" s="3">
        <f t="shared" si="8"/>
        <v>2.56</v>
      </c>
      <c r="D225" s="1">
        <v>2</v>
      </c>
      <c r="E225" s="1">
        <v>3</v>
      </c>
      <c r="F225" s="4">
        <v>2</v>
      </c>
      <c r="G225" s="4">
        <v>2.5</v>
      </c>
      <c r="I225" s="4">
        <v>3.3</v>
      </c>
    </row>
    <row r="226" spans="1:10" s="4" customFormat="1" x14ac:dyDescent="0.25">
      <c r="A226" s="1">
        <f t="shared" si="7"/>
        <v>33</v>
      </c>
      <c r="B226" s="6">
        <v>44421</v>
      </c>
      <c r="C226" s="3">
        <f t="shared" si="8"/>
        <v>2.9240000000000004</v>
      </c>
      <c r="D226" s="1">
        <v>0.5</v>
      </c>
      <c r="E226" s="1">
        <v>3</v>
      </c>
      <c r="F226" s="4">
        <v>6.5</v>
      </c>
      <c r="G226" s="4">
        <v>2</v>
      </c>
      <c r="I226" s="4">
        <v>2.62</v>
      </c>
    </row>
    <row r="227" spans="1:10" s="4" customFormat="1" x14ac:dyDescent="0.25">
      <c r="A227" s="1">
        <f t="shared" si="7"/>
        <v>33</v>
      </c>
      <c r="B227" s="6">
        <v>44422</v>
      </c>
      <c r="C227" s="3">
        <f t="shared" si="8"/>
        <v>5.5220000000000002</v>
      </c>
      <c r="D227" s="1">
        <v>3.5</v>
      </c>
      <c r="E227" s="1">
        <v>6.5</v>
      </c>
      <c r="F227" s="4">
        <v>9</v>
      </c>
      <c r="G227" s="4">
        <v>3.5</v>
      </c>
      <c r="I227" s="4">
        <v>5.1100000000000003</v>
      </c>
    </row>
    <row r="228" spans="1:10" s="4" customFormat="1" x14ac:dyDescent="0.25">
      <c r="A228" s="1">
        <f t="shared" si="7"/>
        <v>33</v>
      </c>
      <c r="B228" s="6">
        <v>44423</v>
      </c>
      <c r="C228" s="3">
        <f t="shared" si="8"/>
        <v>13.157999999999998</v>
      </c>
      <c r="D228" s="1">
        <v>10.5</v>
      </c>
      <c r="E228" s="1">
        <v>18</v>
      </c>
      <c r="F228" s="4">
        <v>3</v>
      </c>
      <c r="G228" s="4">
        <v>14</v>
      </c>
      <c r="I228" s="4">
        <v>20.29</v>
      </c>
    </row>
    <row r="229" spans="1:10" s="4" customFormat="1" x14ac:dyDescent="0.25">
      <c r="A229" s="1">
        <f t="shared" si="7"/>
        <v>34</v>
      </c>
      <c r="B229" s="6">
        <v>44424</v>
      </c>
      <c r="C229" s="3">
        <f t="shared" si="8"/>
        <v>0.6</v>
      </c>
      <c r="D229" s="1">
        <v>0.5</v>
      </c>
      <c r="E229" s="1">
        <v>1.5</v>
      </c>
      <c r="F229" s="4">
        <v>0.3</v>
      </c>
      <c r="G229" s="4">
        <v>0.5</v>
      </c>
      <c r="I229" s="4">
        <v>0.2</v>
      </c>
    </row>
    <row r="230" spans="1:10" s="4" customFormat="1" x14ac:dyDescent="0.25">
      <c r="A230" s="1">
        <f t="shared" si="7"/>
        <v>34</v>
      </c>
      <c r="B230" s="6">
        <v>44425</v>
      </c>
      <c r="C230" s="3">
        <f t="shared" si="8"/>
        <v>9.3580000000000005</v>
      </c>
      <c r="D230" s="1">
        <v>15.5</v>
      </c>
      <c r="E230" s="1">
        <v>8.5</v>
      </c>
      <c r="F230" s="4">
        <v>8.5</v>
      </c>
      <c r="G230" s="4">
        <v>8.5</v>
      </c>
      <c r="I230" s="4">
        <v>5.79</v>
      </c>
    </row>
    <row r="231" spans="1:10" s="4" customFormat="1" x14ac:dyDescent="0.25">
      <c r="A231" s="1">
        <f t="shared" si="7"/>
        <v>34</v>
      </c>
      <c r="B231" s="6">
        <v>44426</v>
      </c>
      <c r="C231" s="3">
        <f t="shared" si="8"/>
        <v>7.2040000000000006</v>
      </c>
      <c r="D231" s="1">
        <v>6</v>
      </c>
      <c r="E231" s="1">
        <v>4</v>
      </c>
      <c r="F231" s="4">
        <v>5.5</v>
      </c>
      <c r="G231" s="4">
        <v>10.1</v>
      </c>
      <c r="I231" s="4">
        <v>10.42</v>
      </c>
    </row>
    <row r="232" spans="1:10" s="4" customFormat="1" x14ac:dyDescent="0.25">
      <c r="A232" s="1">
        <f t="shared" si="7"/>
        <v>34</v>
      </c>
      <c r="B232" s="6">
        <v>44427</v>
      </c>
      <c r="C232" s="3">
        <f t="shared" si="8"/>
        <v>0</v>
      </c>
      <c r="D232" s="1">
        <v>0</v>
      </c>
      <c r="E232" s="1">
        <v>0</v>
      </c>
      <c r="F232" s="4">
        <v>0</v>
      </c>
      <c r="G232" s="4">
        <v>0</v>
      </c>
      <c r="I232" s="4">
        <v>0</v>
      </c>
    </row>
    <row r="233" spans="1:10" s="4" customFormat="1" x14ac:dyDescent="0.25">
      <c r="A233" s="1">
        <f t="shared" si="7"/>
        <v>34</v>
      </c>
      <c r="B233" s="6">
        <v>44428</v>
      </c>
      <c r="C233" s="3">
        <f t="shared" si="8"/>
        <v>15.770000000000001</v>
      </c>
      <c r="D233" s="1">
        <v>8.5</v>
      </c>
      <c r="E233" s="1">
        <v>30</v>
      </c>
      <c r="F233" s="4">
        <v>4</v>
      </c>
      <c r="G233" s="4">
        <v>10.71</v>
      </c>
      <c r="I233" s="4">
        <v>21.41</v>
      </c>
      <c r="J233" s="4">
        <v>20</v>
      </c>
    </row>
    <row r="234" spans="1:10" s="4" customFormat="1" x14ac:dyDescent="0.25">
      <c r="A234" s="1">
        <f t="shared" si="7"/>
        <v>34</v>
      </c>
      <c r="B234" s="6">
        <v>44429</v>
      </c>
      <c r="C234" s="3">
        <f t="shared" si="8"/>
        <v>12.951666666666666</v>
      </c>
      <c r="D234" s="1">
        <v>19.7</v>
      </c>
      <c r="E234" s="1">
        <v>10.199999999999999</v>
      </c>
      <c r="F234" s="4">
        <v>10.5</v>
      </c>
      <c r="G234" s="4">
        <v>10.7</v>
      </c>
      <c r="I234" s="4">
        <v>18.010000000000002</v>
      </c>
      <c r="J234" s="4">
        <v>8.6</v>
      </c>
    </row>
    <row r="235" spans="1:10" s="4" customFormat="1" x14ac:dyDescent="0.25">
      <c r="A235" s="1">
        <f t="shared" si="7"/>
        <v>34</v>
      </c>
      <c r="B235" s="6">
        <v>44430</v>
      </c>
      <c r="C235" s="3">
        <f t="shared" si="8"/>
        <v>0</v>
      </c>
      <c r="D235" s="1">
        <v>0</v>
      </c>
      <c r="E235" s="1">
        <v>0</v>
      </c>
      <c r="F235" s="4">
        <v>0</v>
      </c>
      <c r="G235" s="4">
        <v>0</v>
      </c>
      <c r="I235" s="4">
        <v>0</v>
      </c>
      <c r="J235" s="4">
        <v>0</v>
      </c>
    </row>
    <row r="236" spans="1:10" s="4" customFormat="1" x14ac:dyDescent="0.25">
      <c r="A236" s="1">
        <f t="shared" si="7"/>
        <v>35</v>
      </c>
      <c r="B236" s="6">
        <v>44431</v>
      </c>
      <c r="C236" s="3">
        <f t="shared" si="8"/>
        <v>0</v>
      </c>
      <c r="D236" s="1">
        <v>0</v>
      </c>
      <c r="E236" s="1">
        <v>0</v>
      </c>
      <c r="F236" s="4">
        <v>0</v>
      </c>
      <c r="G236" s="4">
        <v>0</v>
      </c>
      <c r="I236" s="4">
        <v>0</v>
      </c>
      <c r="J236" s="4">
        <v>0</v>
      </c>
    </row>
    <row r="237" spans="1:10" s="4" customFormat="1" x14ac:dyDescent="0.25">
      <c r="A237" s="1">
        <f t="shared" si="7"/>
        <v>35</v>
      </c>
      <c r="B237" s="6">
        <v>44432</v>
      </c>
      <c r="C237" s="3">
        <f t="shared" si="8"/>
        <v>15.766666666666666</v>
      </c>
      <c r="D237" s="1">
        <v>33</v>
      </c>
      <c r="E237" s="1">
        <v>20.100000000000001</v>
      </c>
      <c r="F237" s="4">
        <v>15.7</v>
      </c>
      <c r="G237" s="4">
        <v>25.8</v>
      </c>
      <c r="I237" s="4">
        <v>0</v>
      </c>
      <c r="J237" s="4">
        <v>0</v>
      </c>
    </row>
    <row r="238" spans="1:10" s="4" customFormat="1" x14ac:dyDescent="0.25">
      <c r="A238" s="1">
        <f t="shared" si="7"/>
        <v>35</v>
      </c>
      <c r="B238" s="6">
        <v>44433</v>
      </c>
      <c r="C238" s="3">
        <f t="shared" si="8"/>
        <v>13.498333333333333</v>
      </c>
      <c r="D238" s="1">
        <v>4.5</v>
      </c>
      <c r="E238" s="1">
        <v>5.5</v>
      </c>
      <c r="F238" s="4">
        <v>4.5</v>
      </c>
      <c r="G238" s="4">
        <v>10</v>
      </c>
      <c r="I238" s="4">
        <v>31.29</v>
      </c>
      <c r="J238" s="4">
        <v>25.2</v>
      </c>
    </row>
    <row r="239" spans="1:10" s="4" customFormat="1" x14ac:dyDescent="0.25">
      <c r="A239" s="1">
        <f t="shared" si="7"/>
        <v>35</v>
      </c>
      <c r="B239" s="6">
        <v>44434</v>
      </c>
      <c r="C239" s="3">
        <f t="shared" si="8"/>
        <v>0</v>
      </c>
      <c r="D239" s="1">
        <v>0</v>
      </c>
      <c r="E239" s="1">
        <v>0</v>
      </c>
      <c r="F239" s="4">
        <v>0</v>
      </c>
      <c r="G239" s="4">
        <v>0</v>
      </c>
      <c r="I239" s="4">
        <v>0</v>
      </c>
      <c r="J239" s="4">
        <v>0</v>
      </c>
    </row>
    <row r="240" spans="1:10" s="4" customFormat="1" x14ac:dyDescent="0.25">
      <c r="A240" s="1">
        <f t="shared" si="7"/>
        <v>35</v>
      </c>
      <c r="B240" s="6">
        <v>44435</v>
      </c>
      <c r="C240" s="3">
        <f t="shared" si="8"/>
        <v>0.55166666666666675</v>
      </c>
      <c r="D240" s="1">
        <v>0.6</v>
      </c>
      <c r="E240" s="1">
        <v>0.6</v>
      </c>
      <c r="F240" s="4">
        <v>0.8</v>
      </c>
      <c r="G240" s="4">
        <v>0.6</v>
      </c>
      <c r="I240" s="4">
        <v>0.51</v>
      </c>
      <c r="J240" s="4">
        <v>0.2</v>
      </c>
    </row>
    <row r="241" spans="1:14" s="4" customFormat="1" x14ac:dyDescent="0.25">
      <c r="A241" s="1">
        <f t="shared" si="7"/>
        <v>35</v>
      </c>
      <c r="B241" s="6">
        <v>44436</v>
      </c>
      <c r="C241" s="3">
        <f t="shared" si="8"/>
        <v>26.948333333333334</v>
      </c>
      <c r="D241" s="1">
        <v>27</v>
      </c>
      <c r="E241" s="1">
        <v>20</v>
      </c>
      <c r="F241" s="4">
        <v>30</v>
      </c>
      <c r="G241" s="4">
        <v>25.6</v>
      </c>
      <c r="I241" s="4">
        <v>24.89</v>
      </c>
      <c r="J241" s="4">
        <v>34.200000000000003</v>
      </c>
    </row>
    <row r="242" spans="1:14" s="4" customFormat="1" x14ac:dyDescent="0.25">
      <c r="A242" s="1">
        <f t="shared" si="7"/>
        <v>35</v>
      </c>
      <c r="B242" s="6">
        <v>44437</v>
      </c>
      <c r="C242" s="3">
        <f t="shared" si="8"/>
        <v>0</v>
      </c>
      <c r="D242" s="1">
        <v>0</v>
      </c>
      <c r="E242" s="1">
        <v>0</v>
      </c>
      <c r="F242" s="4">
        <v>0</v>
      </c>
      <c r="G242" s="4">
        <v>0</v>
      </c>
      <c r="I242" s="4">
        <v>0</v>
      </c>
      <c r="J242" s="4">
        <v>0</v>
      </c>
    </row>
    <row r="243" spans="1:14" s="4" customFormat="1" x14ac:dyDescent="0.25">
      <c r="A243" s="18"/>
      <c r="B243" s="6">
        <v>44438</v>
      </c>
      <c r="C243" s="3">
        <f t="shared" si="8"/>
        <v>7.3499999999999988</v>
      </c>
      <c r="D243" s="1">
        <v>1.5</v>
      </c>
      <c r="E243" s="1">
        <v>9</v>
      </c>
      <c r="F243" s="4">
        <v>24</v>
      </c>
      <c r="G243" s="4">
        <v>1.5</v>
      </c>
      <c r="I243" s="4">
        <v>1.3</v>
      </c>
      <c r="J243" s="4">
        <v>6.8</v>
      </c>
    </row>
    <row r="244" spans="1:14" s="25" customFormat="1" ht="15.75" thickBot="1" x14ac:dyDescent="0.3">
      <c r="A244" s="22">
        <f t="shared" si="7"/>
        <v>36</v>
      </c>
      <c r="B244" s="6">
        <v>44439</v>
      </c>
      <c r="C244" s="3">
        <f t="shared" si="8"/>
        <v>0.77500000000000002</v>
      </c>
      <c r="D244" s="1">
        <v>1.5</v>
      </c>
      <c r="E244" s="1">
        <v>0</v>
      </c>
      <c r="F244" s="4">
        <v>1.5</v>
      </c>
      <c r="G244" s="4">
        <v>1.25</v>
      </c>
      <c r="H244" s="4"/>
      <c r="I244" s="4">
        <v>0.2</v>
      </c>
      <c r="J244" s="4">
        <v>0.2</v>
      </c>
      <c r="K244" s="24">
        <f>SUM(C214:C244)</f>
        <v>217.5336666666667</v>
      </c>
    </row>
    <row r="245" spans="1:14" s="4" customFormat="1" x14ac:dyDescent="0.25">
      <c r="A245" s="1">
        <f t="shared" si="7"/>
        <v>36</v>
      </c>
      <c r="B245" s="6">
        <v>44440</v>
      </c>
      <c r="C245" s="3">
        <f t="shared" si="8"/>
        <v>0</v>
      </c>
      <c r="D245" s="1">
        <v>0</v>
      </c>
      <c r="E245" s="1">
        <v>0</v>
      </c>
      <c r="F245" s="4">
        <v>0</v>
      </c>
      <c r="G245" s="4">
        <v>0</v>
      </c>
      <c r="I245" s="4">
        <v>0</v>
      </c>
      <c r="J245" s="4">
        <v>0</v>
      </c>
    </row>
    <row r="246" spans="1:14" s="4" customFormat="1" x14ac:dyDescent="0.25">
      <c r="A246" s="1">
        <f t="shared" si="7"/>
        <v>36</v>
      </c>
      <c r="B246" s="6">
        <v>44441</v>
      </c>
      <c r="C246" s="3">
        <f t="shared" si="8"/>
        <v>26.216666666666665</v>
      </c>
      <c r="D246" s="1">
        <v>26</v>
      </c>
      <c r="E246" s="1">
        <v>25</v>
      </c>
      <c r="F246" s="4">
        <v>18</v>
      </c>
      <c r="G246" s="4">
        <v>33</v>
      </c>
      <c r="I246" s="4">
        <v>28.7</v>
      </c>
      <c r="J246" s="4">
        <v>26.6</v>
      </c>
    </row>
    <row r="247" spans="1:14" s="4" customFormat="1" x14ac:dyDescent="0.25">
      <c r="A247" s="1">
        <f t="shared" si="7"/>
        <v>36</v>
      </c>
      <c r="B247" s="6">
        <v>44442</v>
      </c>
      <c r="C247" s="3">
        <f t="shared" si="8"/>
        <v>0</v>
      </c>
      <c r="D247" s="1">
        <v>0</v>
      </c>
      <c r="E247" s="1">
        <v>0</v>
      </c>
      <c r="F247" s="4">
        <v>0</v>
      </c>
      <c r="G247" s="4">
        <v>0</v>
      </c>
      <c r="I247" s="4">
        <v>0</v>
      </c>
      <c r="J247" s="4">
        <v>0</v>
      </c>
    </row>
    <row r="248" spans="1:14" s="4" customFormat="1" x14ac:dyDescent="0.25">
      <c r="A248" s="1">
        <f t="shared" si="7"/>
        <v>36</v>
      </c>
      <c r="B248" s="6">
        <v>44443</v>
      </c>
      <c r="C248" s="3">
        <f t="shared" si="8"/>
        <v>0</v>
      </c>
      <c r="D248" s="1">
        <v>0</v>
      </c>
      <c r="E248" s="1">
        <v>0</v>
      </c>
      <c r="F248" s="4">
        <v>0</v>
      </c>
      <c r="G248" s="4">
        <v>0</v>
      </c>
      <c r="I248" s="4">
        <v>0</v>
      </c>
      <c r="J248" s="4">
        <v>0</v>
      </c>
    </row>
    <row r="249" spans="1:14" s="4" customFormat="1" x14ac:dyDescent="0.25">
      <c r="A249" s="1">
        <f t="shared" si="7"/>
        <v>36</v>
      </c>
      <c r="B249" s="6">
        <v>44444</v>
      </c>
      <c r="C249" s="3">
        <f t="shared" si="8"/>
        <v>11.385</v>
      </c>
      <c r="D249" s="1">
        <v>8.5</v>
      </c>
      <c r="E249" s="1">
        <v>12</v>
      </c>
      <c r="F249" s="4">
        <v>11</v>
      </c>
      <c r="G249" s="4">
        <v>14</v>
      </c>
      <c r="I249" s="4">
        <v>17.809999999999999</v>
      </c>
      <c r="J249" s="4">
        <v>5</v>
      </c>
    </row>
    <row r="250" spans="1:14" s="4" customFormat="1" x14ac:dyDescent="0.25">
      <c r="A250" s="1">
        <f t="shared" si="7"/>
        <v>37</v>
      </c>
      <c r="B250" s="6">
        <v>44445</v>
      </c>
      <c r="C250" s="3">
        <f t="shared" si="8"/>
        <v>0</v>
      </c>
      <c r="D250" s="1">
        <v>0</v>
      </c>
      <c r="E250" s="1">
        <v>0</v>
      </c>
      <c r="F250" s="4">
        <v>0</v>
      </c>
      <c r="G250" s="4">
        <v>0</v>
      </c>
      <c r="I250" s="4">
        <v>0</v>
      </c>
      <c r="J250" s="4">
        <v>0</v>
      </c>
      <c r="N250" s="21"/>
    </row>
    <row r="251" spans="1:14" s="4" customFormat="1" x14ac:dyDescent="0.25">
      <c r="A251" s="1">
        <f t="shared" si="7"/>
        <v>37</v>
      </c>
      <c r="B251" s="6">
        <v>44446</v>
      </c>
      <c r="C251" s="3">
        <f t="shared" si="8"/>
        <v>15.966666666666669</v>
      </c>
      <c r="D251" s="1">
        <v>8</v>
      </c>
      <c r="E251" s="1">
        <v>17</v>
      </c>
      <c r="F251" s="4">
        <v>44</v>
      </c>
      <c r="G251" s="4">
        <v>7</v>
      </c>
      <c r="I251" s="4">
        <v>9.4</v>
      </c>
      <c r="J251" s="4">
        <v>10.4</v>
      </c>
      <c r="K251" s="21"/>
    </row>
    <row r="252" spans="1:14" s="4" customFormat="1" x14ac:dyDescent="0.25">
      <c r="A252" s="1">
        <f t="shared" si="7"/>
        <v>37</v>
      </c>
      <c r="B252" s="6">
        <v>44447</v>
      </c>
      <c r="C252" s="3">
        <f t="shared" si="8"/>
        <v>3.0933333333333333</v>
      </c>
      <c r="D252" s="1">
        <v>1.5</v>
      </c>
      <c r="E252" s="1">
        <v>2.5</v>
      </c>
      <c r="F252" s="4">
        <v>9</v>
      </c>
      <c r="G252" s="4">
        <v>1.75</v>
      </c>
      <c r="I252" s="4">
        <v>2.0099999999999998</v>
      </c>
      <c r="J252" s="4">
        <v>1.8</v>
      </c>
    </row>
    <row r="253" spans="1:14" s="4" customFormat="1" x14ac:dyDescent="0.25">
      <c r="A253" s="1">
        <f t="shared" si="7"/>
        <v>37</v>
      </c>
      <c r="B253" s="6">
        <v>44448</v>
      </c>
      <c r="C253" s="3">
        <f t="shared" si="8"/>
        <v>1.1666666666666667</v>
      </c>
      <c r="D253" s="1">
        <v>0.5</v>
      </c>
      <c r="E253" s="1">
        <v>3</v>
      </c>
      <c r="F253" s="4">
        <v>0.5</v>
      </c>
      <c r="G253" s="4">
        <v>1</v>
      </c>
      <c r="I253" s="4">
        <v>0</v>
      </c>
      <c r="J253" s="4">
        <v>2</v>
      </c>
    </row>
    <row r="254" spans="1:14" s="4" customFormat="1" x14ac:dyDescent="0.25">
      <c r="A254" s="1">
        <f t="shared" si="7"/>
        <v>37</v>
      </c>
      <c r="B254" s="6">
        <v>44449</v>
      </c>
      <c r="C254" s="3">
        <f t="shared" si="8"/>
        <v>2.15</v>
      </c>
      <c r="D254" s="1">
        <v>1.5</v>
      </c>
      <c r="E254" s="1">
        <v>1</v>
      </c>
      <c r="F254" s="4">
        <v>4</v>
      </c>
      <c r="G254" s="4">
        <v>3</v>
      </c>
      <c r="I254" s="4">
        <v>1.8</v>
      </c>
      <c r="J254" s="4">
        <v>1.6</v>
      </c>
    </row>
    <row r="255" spans="1:14" s="4" customFormat="1" x14ac:dyDescent="0.25">
      <c r="A255" s="1">
        <f t="shared" si="7"/>
        <v>37</v>
      </c>
      <c r="B255" s="6">
        <v>44450</v>
      </c>
      <c r="C255" s="3">
        <f t="shared" si="8"/>
        <v>20.65</v>
      </c>
      <c r="D255" s="1">
        <v>18</v>
      </c>
      <c r="E255" s="1">
        <v>25</v>
      </c>
      <c r="F255" s="4">
        <v>13</v>
      </c>
      <c r="G255" s="4">
        <v>26</v>
      </c>
      <c r="I255" s="4">
        <v>24.1</v>
      </c>
      <c r="J255" s="4">
        <v>17.8</v>
      </c>
    </row>
    <row r="256" spans="1:14" s="4" customFormat="1" x14ac:dyDescent="0.25">
      <c r="A256" s="1">
        <f t="shared" si="7"/>
        <v>37</v>
      </c>
      <c r="B256" s="6">
        <v>44451</v>
      </c>
      <c r="C256" s="3">
        <f t="shared" si="8"/>
        <v>0</v>
      </c>
      <c r="D256" s="1">
        <v>0</v>
      </c>
      <c r="E256" s="1">
        <v>0</v>
      </c>
      <c r="F256" s="4">
        <v>0</v>
      </c>
      <c r="G256" s="4">
        <v>0</v>
      </c>
      <c r="I256" s="4">
        <v>0</v>
      </c>
      <c r="J256" s="4">
        <v>0</v>
      </c>
    </row>
    <row r="257" spans="1:10" s="4" customFormat="1" x14ac:dyDescent="0.25">
      <c r="A257" s="1">
        <f t="shared" si="7"/>
        <v>38</v>
      </c>
      <c r="B257" s="6">
        <v>44452</v>
      </c>
      <c r="C257" s="3">
        <f t="shared" si="8"/>
        <v>0</v>
      </c>
      <c r="D257" s="1">
        <v>0</v>
      </c>
      <c r="E257" s="1">
        <v>0</v>
      </c>
      <c r="F257" s="4">
        <v>0</v>
      </c>
      <c r="G257" s="4">
        <v>0</v>
      </c>
      <c r="I257" s="4">
        <v>0</v>
      </c>
      <c r="J257" s="4">
        <v>0</v>
      </c>
    </row>
    <row r="258" spans="1:10" s="4" customFormat="1" x14ac:dyDescent="0.25">
      <c r="A258" s="1">
        <f t="shared" ref="A258:A321" si="9">WEEKNUM($B258,2)</f>
        <v>38</v>
      </c>
      <c r="B258" s="6">
        <v>44453</v>
      </c>
      <c r="C258" s="3">
        <f t="shared" si="8"/>
        <v>6.5666666666666664</v>
      </c>
      <c r="D258" s="1">
        <v>4</v>
      </c>
      <c r="E258" s="1">
        <v>5</v>
      </c>
      <c r="F258" s="4">
        <v>17</v>
      </c>
      <c r="G258" s="4">
        <v>3</v>
      </c>
      <c r="I258" s="4">
        <v>6.4</v>
      </c>
      <c r="J258" s="4">
        <v>4</v>
      </c>
    </row>
    <row r="259" spans="1:10" s="4" customFormat="1" x14ac:dyDescent="0.25">
      <c r="A259" s="1">
        <f t="shared" si="9"/>
        <v>38</v>
      </c>
      <c r="B259" s="6">
        <v>44454</v>
      </c>
      <c r="C259" s="3">
        <f t="shared" ref="C259:C322" si="10">AVERAGE(D259:J259)</f>
        <v>64.899999999999991</v>
      </c>
      <c r="D259" s="1">
        <v>55.5</v>
      </c>
      <c r="E259" s="1">
        <v>66</v>
      </c>
      <c r="F259" s="4">
        <v>54</v>
      </c>
      <c r="G259" s="4">
        <v>61</v>
      </c>
      <c r="I259" s="4">
        <v>77.7</v>
      </c>
      <c r="J259" s="4">
        <v>75.2</v>
      </c>
    </row>
    <row r="260" spans="1:10" s="4" customFormat="1" x14ac:dyDescent="0.25">
      <c r="A260" s="1">
        <f t="shared" si="9"/>
        <v>38</v>
      </c>
      <c r="B260" s="6">
        <v>44455</v>
      </c>
      <c r="C260" s="3">
        <f t="shared" si="10"/>
        <v>0</v>
      </c>
      <c r="D260" s="1">
        <v>0</v>
      </c>
      <c r="E260" s="1">
        <v>0</v>
      </c>
      <c r="F260" s="4">
        <v>0</v>
      </c>
      <c r="G260" s="4">
        <v>0</v>
      </c>
      <c r="I260" s="4">
        <v>0</v>
      </c>
      <c r="J260" s="4">
        <v>0</v>
      </c>
    </row>
    <row r="261" spans="1:10" s="4" customFormat="1" x14ac:dyDescent="0.25">
      <c r="A261" s="1">
        <f t="shared" si="9"/>
        <v>38</v>
      </c>
      <c r="B261" s="6">
        <v>44456</v>
      </c>
      <c r="C261" s="3">
        <f t="shared" si="10"/>
        <v>0</v>
      </c>
      <c r="D261" s="1">
        <v>0</v>
      </c>
      <c r="E261" s="1">
        <v>0</v>
      </c>
      <c r="F261" s="4">
        <v>0</v>
      </c>
      <c r="G261" s="4">
        <v>0</v>
      </c>
      <c r="I261" s="4">
        <v>0</v>
      </c>
      <c r="J261" s="4">
        <v>0</v>
      </c>
    </row>
    <row r="262" spans="1:10" s="4" customFormat="1" x14ac:dyDescent="0.25">
      <c r="A262" s="1">
        <f t="shared" si="9"/>
        <v>38</v>
      </c>
      <c r="B262" s="6">
        <v>44457</v>
      </c>
      <c r="C262" s="3">
        <f t="shared" si="10"/>
        <v>0</v>
      </c>
      <c r="D262" s="1">
        <v>0</v>
      </c>
      <c r="E262" s="1">
        <v>0</v>
      </c>
      <c r="F262" s="4">
        <v>0</v>
      </c>
      <c r="G262" s="4">
        <v>0</v>
      </c>
      <c r="I262" s="4">
        <v>0</v>
      </c>
      <c r="J262" s="4">
        <v>0</v>
      </c>
    </row>
    <row r="263" spans="1:10" s="4" customFormat="1" x14ac:dyDescent="0.25">
      <c r="A263" s="1">
        <f t="shared" si="9"/>
        <v>38</v>
      </c>
      <c r="B263" s="6">
        <v>44458</v>
      </c>
      <c r="C263" s="3">
        <f t="shared" si="10"/>
        <v>0</v>
      </c>
      <c r="D263" s="1">
        <v>0</v>
      </c>
      <c r="E263" s="1">
        <v>0</v>
      </c>
      <c r="F263" s="4">
        <v>0</v>
      </c>
      <c r="G263" s="4">
        <v>0</v>
      </c>
      <c r="I263" s="4">
        <v>0</v>
      </c>
      <c r="J263" s="4">
        <v>0</v>
      </c>
    </row>
    <row r="264" spans="1:10" s="4" customFormat="1" x14ac:dyDescent="0.25">
      <c r="A264" s="1">
        <f t="shared" si="9"/>
        <v>39</v>
      </c>
      <c r="B264" s="6">
        <v>44459</v>
      </c>
      <c r="C264" s="3">
        <f t="shared" si="10"/>
        <v>0</v>
      </c>
      <c r="D264" s="1">
        <v>0</v>
      </c>
      <c r="E264" s="1">
        <v>0</v>
      </c>
      <c r="F264" s="4">
        <v>0</v>
      </c>
      <c r="G264" s="4">
        <v>0</v>
      </c>
      <c r="I264" s="4">
        <v>0</v>
      </c>
      <c r="J264" s="4">
        <v>0</v>
      </c>
    </row>
    <row r="265" spans="1:10" s="4" customFormat="1" x14ac:dyDescent="0.25">
      <c r="A265" s="1">
        <f t="shared" si="9"/>
        <v>39</v>
      </c>
      <c r="B265" s="6">
        <v>44460</v>
      </c>
      <c r="C265" s="3">
        <f t="shared" si="10"/>
        <v>5.5683333333333325</v>
      </c>
      <c r="D265" s="1">
        <v>0</v>
      </c>
      <c r="E265" s="1">
        <v>12</v>
      </c>
      <c r="F265" s="4">
        <v>4</v>
      </c>
      <c r="G265" s="4">
        <v>0.5</v>
      </c>
      <c r="I265" s="4">
        <v>5.1100000000000003</v>
      </c>
      <c r="J265" s="4">
        <v>11.8</v>
      </c>
    </row>
    <row r="266" spans="1:10" s="4" customFormat="1" x14ac:dyDescent="0.25">
      <c r="A266" s="1">
        <f t="shared" si="9"/>
        <v>39</v>
      </c>
      <c r="B266" s="6">
        <v>44461</v>
      </c>
      <c r="C266" s="3">
        <f t="shared" si="10"/>
        <v>23.281666666666666</v>
      </c>
      <c r="D266" s="1">
        <v>29.5</v>
      </c>
      <c r="E266" s="1">
        <v>20</v>
      </c>
      <c r="F266" s="4">
        <v>8</v>
      </c>
      <c r="G266" s="4">
        <v>36</v>
      </c>
      <c r="I266" s="4">
        <v>31.19</v>
      </c>
      <c r="J266" s="4">
        <v>15</v>
      </c>
    </row>
    <row r="267" spans="1:10" s="4" customFormat="1" x14ac:dyDescent="0.25">
      <c r="A267" s="1">
        <f t="shared" si="9"/>
        <v>39</v>
      </c>
      <c r="B267" s="6">
        <v>44462</v>
      </c>
      <c r="C267" s="3">
        <f t="shared" si="10"/>
        <v>2.6833333333333336</v>
      </c>
      <c r="D267" s="1">
        <v>2</v>
      </c>
      <c r="E267" s="1">
        <v>4</v>
      </c>
      <c r="F267" s="4">
        <v>1</v>
      </c>
      <c r="G267" s="4">
        <v>5</v>
      </c>
      <c r="I267" s="4">
        <v>3.3</v>
      </c>
      <c r="J267" s="4">
        <v>0.8</v>
      </c>
    </row>
    <row r="268" spans="1:10" s="4" customFormat="1" x14ac:dyDescent="0.25">
      <c r="A268" s="1">
        <f t="shared" si="9"/>
        <v>39</v>
      </c>
      <c r="B268" s="6">
        <v>44463</v>
      </c>
      <c r="C268" s="3">
        <f t="shared" si="10"/>
        <v>7.4666666666666659</v>
      </c>
      <c r="D268" s="1">
        <v>2</v>
      </c>
      <c r="E268" s="1">
        <v>6</v>
      </c>
      <c r="F268" s="4">
        <v>13</v>
      </c>
      <c r="G268" s="4">
        <v>7</v>
      </c>
      <c r="I268" s="4">
        <v>6.6</v>
      </c>
      <c r="J268" s="4">
        <v>10.199999999999999</v>
      </c>
    </row>
    <row r="269" spans="1:10" s="4" customFormat="1" x14ac:dyDescent="0.25">
      <c r="A269" s="1">
        <f t="shared" si="9"/>
        <v>39</v>
      </c>
      <c r="B269" s="6">
        <v>44464</v>
      </c>
      <c r="C269" s="3">
        <f t="shared" si="10"/>
        <v>0</v>
      </c>
      <c r="D269" s="1">
        <v>0</v>
      </c>
      <c r="E269" s="1">
        <v>0</v>
      </c>
      <c r="F269" s="4">
        <v>0</v>
      </c>
      <c r="G269" s="4">
        <v>0</v>
      </c>
      <c r="I269" s="4">
        <v>0</v>
      </c>
      <c r="J269" s="4">
        <v>0</v>
      </c>
    </row>
    <row r="270" spans="1:10" s="4" customFormat="1" x14ac:dyDescent="0.25">
      <c r="A270" s="1">
        <f t="shared" si="9"/>
        <v>39</v>
      </c>
      <c r="B270" s="6">
        <v>44465</v>
      </c>
      <c r="C270" s="3">
        <f t="shared" si="10"/>
        <v>0</v>
      </c>
      <c r="D270" s="1">
        <v>0</v>
      </c>
      <c r="E270" s="1">
        <v>0</v>
      </c>
      <c r="F270" s="4">
        <v>0</v>
      </c>
      <c r="G270" s="4">
        <v>0</v>
      </c>
      <c r="I270" s="4">
        <v>0</v>
      </c>
      <c r="J270" s="4">
        <v>0</v>
      </c>
    </row>
    <row r="271" spans="1:10" s="4" customFormat="1" x14ac:dyDescent="0.25">
      <c r="A271" s="1">
        <f t="shared" si="9"/>
        <v>40</v>
      </c>
      <c r="B271" s="6">
        <v>44466</v>
      </c>
      <c r="C271" s="3">
        <f t="shared" si="10"/>
        <v>0</v>
      </c>
      <c r="D271" s="1">
        <v>0</v>
      </c>
      <c r="E271" s="1">
        <v>0</v>
      </c>
      <c r="F271" s="4">
        <v>0</v>
      </c>
      <c r="G271" s="4">
        <v>0</v>
      </c>
      <c r="I271" s="4">
        <v>0</v>
      </c>
      <c r="J271" s="4">
        <v>0</v>
      </c>
    </row>
    <row r="272" spans="1:10" s="4" customFormat="1" x14ac:dyDescent="0.25">
      <c r="A272" s="1">
        <f t="shared" si="9"/>
        <v>40</v>
      </c>
      <c r="B272" s="6">
        <v>44467</v>
      </c>
      <c r="C272" s="3">
        <f t="shared" si="10"/>
        <v>0</v>
      </c>
      <c r="D272" s="1">
        <v>0</v>
      </c>
      <c r="E272" s="1">
        <v>0</v>
      </c>
      <c r="F272" s="4">
        <v>0</v>
      </c>
      <c r="G272" s="4">
        <v>0</v>
      </c>
      <c r="I272" s="4">
        <v>0</v>
      </c>
      <c r="J272" s="4">
        <v>0</v>
      </c>
    </row>
    <row r="273" spans="1:12" s="4" customFormat="1" x14ac:dyDescent="0.25">
      <c r="A273" s="18"/>
      <c r="B273" s="6">
        <v>44468</v>
      </c>
      <c r="C273" s="3">
        <f t="shared" si="10"/>
        <v>0</v>
      </c>
      <c r="D273" s="1">
        <v>0</v>
      </c>
      <c r="E273" s="1">
        <v>0</v>
      </c>
      <c r="F273" s="4">
        <v>0</v>
      </c>
      <c r="G273" s="4">
        <v>0</v>
      </c>
      <c r="I273" s="4">
        <v>0</v>
      </c>
      <c r="J273" s="4">
        <v>0</v>
      </c>
    </row>
    <row r="274" spans="1:12" s="25" customFormat="1" ht="15.75" thickBot="1" x14ac:dyDescent="0.3">
      <c r="A274" s="22">
        <f t="shared" si="9"/>
        <v>40</v>
      </c>
      <c r="B274" s="6">
        <v>44469</v>
      </c>
      <c r="C274" s="3">
        <f t="shared" si="10"/>
        <v>1.45</v>
      </c>
      <c r="D274" s="1">
        <v>1.5</v>
      </c>
      <c r="E274" s="1">
        <v>2.5</v>
      </c>
      <c r="F274" s="4">
        <v>0</v>
      </c>
      <c r="G274" s="4">
        <v>1.5</v>
      </c>
      <c r="H274" s="4"/>
      <c r="I274" s="4">
        <v>1.8</v>
      </c>
      <c r="J274" s="4">
        <v>1.4</v>
      </c>
      <c r="K274" s="24">
        <f>SUM(C245:C274)</f>
        <v>192.54499999999996</v>
      </c>
      <c r="L274" s="31"/>
    </row>
    <row r="275" spans="1:12" s="4" customFormat="1" x14ac:dyDescent="0.25">
      <c r="A275" s="1">
        <f t="shared" si="9"/>
        <v>40</v>
      </c>
      <c r="B275" s="6">
        <v>44470</v>
      </c>
      <c r="C275" s="3">
        <f t="shared" si="10"/>
        <v>92.118333333333339</v>
      </c>
      <c r="D275" s="1">
        <v>109.5</v>
      </c>
      <c r="E275" s="1">
        <v>78</v>
      </c>
      <c r="F275" s="4">
        <v>85</v>
      </c>
      <c r="G275" s="4">
        <v>95</v>
      </c>
      <c r="I275" s="4">
        <v>110.01</v>
      </c>
      <c r="J275" s="4">
        <v>75.2</v>
      </c>
    </row>
    <row r="276" spans="1:12" s="4" customFormat="1" x14ac:dyDescent="0.25">
      <c r="A276" s="1">
        <f t="shared" si="9"/>
        <v>40</v>
      </c>
      <c r="B276" s="6">
        <v>44471</v>
      </c>
      <c r="C276" s="3">
        <f t="shared" si="10"/>
        <v>0.13</v>
      </c>
      <c r="D276" s="1">
        <v>0</v>
      </c>
      <c r="E276" s="1">
        <v>0</v>
      </c>
      <c r="F276" s="4">
        <v>0</v>
      </c>
      <c r="G276" s="4">
        <v>0</v>
      </c>
      <c r="I276" s="4">
        <v>0.78</v>
      </c>
      <c r="J276" s="4">
        <v>0</v>
      </c>
    </row>
    <row r="277" spans="1:12" s="4" customFormat="1" x14ac:dyDescent="0.25">
      <c r="A277" s="1">
        <f t="shared" si="9"/>
        <v>40</v>
      </c>
      <c r="B277" s="6">
        <v>44472</v>
      </c>
      <c r="C277" s="3">
        <f t="shared" si="10"/>
        <v>0</v>
      </c>
      <c r="D277" s="1">
        <v>0</v>
      </c>
      <c r="E277" s="1">
        <v>0</v>
      </c>
      <c r="F277" s="4">
        <v>0</v>
      </c>
      <c r="G277" s="4">
        <v>0</v>
      </c>
      <c r="I277" s="4">
        <v>0</v>
      </c>
      <c r="J277" s="4">
        <v>0</v>
      </c>
    </row>
    <row r="278" spans="1:12" s="4" customFormat="1" x14ac:dyDescent="0.25">
      <c r="A278" s="1">
        <f t="shared" si="9"/>
        <v>41</v>
      </c>
      <c r="B278" s="6">
        <v>44473</v>
      </c>
      <c r="C278" s="3">
        <f t="shared" si="10"/>
        <v>0</v>
      </c>
      <c r="D278" s="1">
        <v>0</v>
      </c>
      <c r="E278" s="1">
        <v>0</v>
      </c>
      <c r="F278" s="4">
        <v>0</v>
      </c>
      <c r="G278" s="4">
        <v>0</v>
      </c>
      <c r="I278" s="4">
        <v>0</v>
      </c>
      <c r="J278" s="4">
        <v>0</v>
      </c>
    </row>
    <row r="279" spans="1:12" s="4" customFormat="1" x14ac:dyDescent="0.25">
      <c r="A279" s="1">
        <f t="shared" si="9"/>
        <v>41</v>
      </c>
      <c r="B279" s="6">
        <v>44474</v>
      </c>
      <c r="C279" s="3">
        <f t="shared" si="10"/>
        <v>0</v>
      </c>
      <c r="D279" s="1">
        <v>0</v>
      </c>
      <c r="E279" s="1">
        <v>0</v>
      </c>
      <c r="F279" s="4">
        <v>0</v>
      </c>
      <c r="G279" s="4">
        <v>0</v>
      </c>
      <c r="I279" s="4">
        <v>0</v>
      </c>
      <c r="J279" s="4">
        <v>0</v>
      </c>
    </row>
    <row r="280" spans="1:12" s="4" customFormat="1" x14ac:dyDescent="0.25">
      <c r="A280" s="1">
        <f t="shared" si="9"/>
        <v>41</v>
      </c>
      <c r="B280" s="6">
        <v>44475</v>
      </c>
      <c r="C280" s="3">
        <f t="shared" si="10"/>
        <v>0</v>
      </c>
      <c r="D280" s="1">
        <v>0</v>
      </c>
      <c r="E280" s="1">
        <v>0</v>
      </c>
      <c r="F280" s="4">
        <v>0</v>
      </c>
      <c r="G280" s="4">
        <v>0</v>
      </c>
      <c r="I280" s="4">
        <v>0</v>
      </c>
      <c r="J280" s="4">
        <v>0</v>
      </c>
    </row>
    <row r="281" spans="1:12" s="4" customFormat="1" x14ac:dyDescent="0.25">
      <c r="A281" s="1">
        <f t="shared" si="9"/>
        <v>41</v>
      </c>
      <c r="B281" s="6">
        <v>44476</v>
      </c>
      <c r="C281" s="3">
        <f t="shared" si="10"/>
        <v>0</v>
      </c>
      <c r="D281" s="1">
        <v>0</v>
      </c>
      <c r="E281" s="1">
        <v>0</v>
      </c>
      <c r="F281" s="4">
        <v>0</v>
      </c>
      <c r="G281" s="4">
        <v>0</v>
      </c>
      <c r="I281" s="4">
        <v>0</v>
      </c>
      <c r="J281" s="4">
        <v>0</v>
      </c>
    </row>
    <row r="282" spans="1:12" s="4" customFormat="1" x14ac:dyDescent="0.25">
      <c r="A282" s="1">
        <f t="shared" si="9"/>
        <v>41</v>
      </c>
      <c r="B282" s="6">
        <v>44477</v>
      </c>
      <c r="C282" s="3">
        <f t="shared" si="10"/>
        <v>0</v>
      </c>
      <c r="D282" s="1">
        <v>0</v>
      </c>
      <c r="E282" s="1">
        <v>0</v>
      </c>
      <c r="F282" s="4">
        <v>0</v>
      </c>
      <c r="G282" s="4">
        <v>0</v>
      </c>
      <c r="I282" s="4">
        <v>0</v>
      </c>
      <c r="J282" s="4">
        <v>0</v>
      </c>
    </row>
    <row r="283" spans="1:12" s="4" customFormat="1" x14ac:dyDescent="0.25">
      <c r="A283" s="1">
        <f t="shared" si="9"/>
        <v>41</v>
      </c>
      <c r="B283" s="6">
        <v>44478</v>
      </c>
      <c r="C283" s="3">
        <f t="shared" si="10"/>
        <v>0</v>
      </c>
      <c r="D283" s="1">
        <v>0</v>
      </c>
      <c r="E283" s="1">
        <v>0</v>
      </c>
      <c r="F283" s="4">
        <v>0</v>
      </c>
      <c r="G283" s="4">
        <v>0</v>
      </c>
      <c r="I283" s="4">
        <v>0</v>
      </c>
      <c r="J283" s="4">
        <v>0</v>
      </c>
    </row>
    <row r="284" spans="1:12" s="4" customFormat="1" x14ac:dyDescent="0.25">
      <c r="A284" s="1">
        <f t="shared" si="9"/>
        <v>41</v>
      </c>
      <c r="B284" s="6">
        <v>44479</v>
      </c>
      <c r="C284" s="3">
        <f t="shared" si="10"/>
        <v>0</v>
      </c>
      <c r="D284" s="1">
        <v>0</v>
      </c>
      <c r="E284" s="1">
        <v>0</v>
      </c>
      <c r="F284" s="4">
        <v>0</v>
      </c>
      <c r="G284" s="4">
        <v>0</v>
      </c>
      <c r="I284" s="4">
        <v>0</v>
      </c>
      <c r="J284" s="4">
        <v>0</v>
      </c>
    </row>
    <row r="285" spans="1:12" s="4" customFormat="1" x14ac:dyDescent="0.25">
      <c r="A285" s="1">
        <f t="shared" si="9"/>
        <v>42</v>
      </c>
      <c r="B285" s="6">
        <v>44480</v>
      </c>
      <c r="C285" s="3">
        <f t="shared" si="10"/>
        <v>0</v>
      </c>
      <c r="D285" s="1">
        <v>0</v>
      </c>
      <c r="E285" s="1">
        <v>0</v>
      </c>
      <c r="F285" s="4">
        <v>0</v>
      </c>
      <c r="G285" s="4">
        <v>0</v>
      </c>
      <c r="I285" s="4">
        <v>0</v>
      </c>
      <c r="J285" s="4">
        <v>0</v>
      </c>
    </row>
    <row r="286" spans="1:12" s="4" customFormat="1" x14ac:dyDescent="0.25">
      <c r="A286" s="1">
        <f t="shared" si="9"/>
        <v>42</v>
      </c>
      <c r="B286" s="6">
        <v>44481</v>
      </c>
      <c r="C286" s="3">
        <f t="shared" si="10"/>
        <v>0</v>
      </c>
      <c r="D286" s="1">
        <v>0</v>
      </c>
      <c r="E286" s="1">
        <v>0</v>
      </c>
      <c r="F286" s="4">
        <v>0</v>
      </c>
      <c r="G286" s="4">
        <v>0</v>
      </c>
      <c r="I286" s="4">
        <v>0</v>
      </c>
      <c r="J286" s="4">
        <v>0</v>
      </c>
    </row>
    <row r="287" spans="1:12" s="4" customFormat="1" x14ac:dyDescent="0.25">
      <c r="A287" s="1">
        <f t="shared" si="9"/>
        <v>42</v>
      </c>
      <c r="B287" s="6">
        <v>44482</v>
      </c>
      <c r="C287" s="3">
        <f t="shared" si="10"/>
        <v>2.1983333333333333</v>
      </c>
      <c r="D287" s="1">
        <v>0.5</v>
      </c>
      <c r="E287" s="1">
        <v>2.5</v>
      </c>
      <c r="F287" s="4">
        <v>8.5</v>
      </c>
      <c r="G287" s="4">
        <v>0.5</v>
      </c>
      <c r="I287" s="4">
        <v>0.99</v>
      </c>
      <c r="J287" s="4">
        <v>0.2</v>
      </c>
    </row>
    <row r="288" spans="1:12" s="4" customFormat="1" x14ac:dyDescent="0.25">
      <c r="A288" s="1">
        <f t="shared" si="9"/>
        <v>42</v>
      </c>
      <c r="B288" s="6">
        <v>44483</v>
      </c>
      <c r="C288" s="3">
        <f t="shared" si="10"/>
        <v>0</v>
      </c>
      <c r="D288" s="1">
        <v>0</v>
      </c>
      <c r="E288" s="1">
        <v>0</v>
      </c>
      <c r="F288" s="4">
        <v>0</v>
      </c>
      <c r="G288" s="4">
        <v>0</v>
      </c>
      <c r="I288" s="4">
        <v>0</v>
      </c>
      <c r="J288" s="4">
        <v>0</v>
      </c>
    </row>
    <row r="289" spans="1:26" s="4" customFormat="1" x14ac:dyDescent="0.25">
      <c r="A289" s="1">
        <f t="shared" si="9"/>
        <v>42</v>
      </c>
      <c r="B289" s="6">
        <v>44484</v>
      </c>
      <c r="C289" s="3">
        <f t="shared" si="10"/>
        <v>7.1000000000000005</v>
      </c>
      <c r="D289" s="1">
        <v>3</v>
      </c>
      <c r="E289" s="1">
        <v>6</v>
      </c>
      <c r="F289" s="4">
        <v>11</v>
      </c>
      <c r="G289" s="4">
        <v>5</v>
      </c>
      <c r="I289" s="4">
        <v>6.6</v>
      </c>
      <c r="J289" s="4">
        <v>11</v>
      </c>
    </row>
    <row r="290" spans="1:26" s="4" customFormat="1" x14ac:dyDescent="0.25">
      <c r="A290" s="1">
        <f t="shared" si="9"/>
        <v>42</v>
      </c>
      <c r="B290" s="6">
        <v>44485</v>
      </c>
      <c r="C290" s="3">
        <f t="shared" si="10"/>
        <v>0</v>
      </c>
      <c r="D290" s="1">
        <v>0</v>
      </c>
      <c r="E290" s="1">
        <v>0</v>
      </c>
      <c r="F290" s="4">
        <v>0</v>
      </c>
      <c r="G290" s="4">
        <v>0</v>
      </c>
      <c r="I290" s="4">
        <v>0</v>
      </c>
      <c r="J290" s="4">
        <v>0</v>
      </c>
    </row>
    <row r="291" spans="1:26" s="4" customFormat="1" x14ac:dyDescent="0.25">
      <c r="A291" s="1">
        <f t="shared" si="9"/>
        <v>42</v>
      </c>
      <c r="B291" s="6">
        <v>44486</v>
      </c>
      <c r="C291" s="3">
        <f t="shared" si="10"/>
        <v>0</v>
      </c>
      <c r="D291" s="1">
        <v>0</v>
      </c>
      <c r="E291" s="1">
        <v>0</v>
      </c>
      <c r="F291" s="4">
        <v>0</v>
      </c>
      <c r="G291" s="4">
        <v>0</v>
      </c>
      <c r="I291" s="4">
        <v>0</v>
      </c>
      <c r="J291" s="4">
        <v>0</v>
      </c>
    </row>
    <row r="292" spans="1:26" s="4" customFormat="1" x14ac:dyDescent="0.25">
      <c r="A292" s="1">
        <f t="shared" si="9"/>
        <v>43</v>
      </c>
      <c r="B292" s="6">
        <v>44487</v>
      </c>
      <c r="C292" s="3">
        <f t="shared" si="10"/>
        <v>2.6666666666666665</v>
      </c>
      <c r="D292" s="1">
        <v>3</v>
      </c>
      <c r="E292" s="1">
        <v>3</v>
      </c>
      <c r="F292" s="4">
        <v>6</v>
      </c>
      <c r="G292" s="4">
        <v>3</v>
      </c>
      <c r="I292" s="4">
        <v>0</v>
      </c>
      <c r="J292" s="4">
        <v>1</v>
      </c>
    </row>
    <row r="293" spans="1:26" s="4" customFormat="1" x14ac:dyDescent="0.25">
      <c r="A293" s="1">
        <f t="shared" si="9"/>
        <v>43</v>
      </c>
      <c r="B293" s="6">
        <v>44488</v>
      </c>
      <c r="C293" s="3">
        <f t="shared" si="10"/>
        <v>16.14</v>
      </c>
      <c r="D293" s="1">
        <v>16.5</v>
      </c>
      <c r="E293" s="1">
        <v>18</v>
      </c>
      <c r="F293" s="4">
        <v>15</v>
      </c>
      <c r="G293" s="4">
        <v>14</v>
      </c>
      <c r="J293" s="4">
        <v>17.2</v>
      </c>
    </row>
    <row r="294" spans="1:26" s="4" customFormat="1" x14ac:dyDescent="0.25">
      <c r="A294" s="1">
        <f t="shared" si="9"/>
        <v>43</v>
      </c>
      <c r="B294" s="6">
        <v>44489</v>
      </c>
      <c r="C294" s="3">
        <f t="shared" si="10"/>
        <v>0</v>
      </c>
      <c r="D294" s="1">
        <v>0</v>
      </c>
      <c r="E294" s="1">
        <v>0</v>
      </c>
      <c r="F294" s="4">
        <v>0</v>
      </c>
      <c r="G294" s="4">
        <v>0</v>
      </c>
      <c r="I294" s="4">
        <v>0</v>
      </c>
      <c r="J294" s="4">
        <v>0</v>
      </c>
    </row>
    <row r="295" spans="1:26" s="4" customFormat="1" x14ac:dyDescent="0.25">
      <c r="A295" s="1">
        <f t="shared" si="9"/>
        <v>43</v>
      </c>
      <c r="B295" s="6">
        <v>44490</v>
      </c>
      <c r="C295" s="3">
        <f t="shared" si="10"/>
        <v>0</v>
      </c>
      <c r="D295" s="1">
        <v>0</v>
      </c>
      <c r="E295" s="1">
        <v>0</v>
      </c>
      <c r="F295" s="4">
        <v>0</v>
      </c>
      <c r="G295" s="4">
        <v>0</v>
      </c>
      <c r="I295" s="4">
        <v>0</v>
      </c>
      <c r="J295" s="4">
        <v>0</v>
      </c>
    </row>
    <row r="296" spans="1:26" s="4" customFormat="1" x14ac:dyDescent="0.25">
      <c r="A296" s="1">
        <f t="shared" si="9"/>
        <v>43</v>
      </c>
      <c r="B296" s="6">
        <v>44491</v>
      </c>
      <c r="C296" s="3">
        <f t="shared" si="10"/>
        <v>0.77499999999999991</v>
      </c>
      <c r="D296" s="1">
        <v>0.5</v>
      </c>
      <c r="E296" s="1">
        <v>1.75</v>
      </c>
      <c r="F296" s="4">
        <v>0.5</v>
      </c>
      <c r="G296" s="4">
        <v>1</v>
      </c>
      <c r="I296" s="4">
        <v>0.3</v>
      </c>
      <c r="J296" s="4">
        <v>0.6</v>
      </c>
    </row>
    <row r="297" spans="1:26" s="4" customFormat="1" x14ac:dyDescent="0.25">
      <c r="A297" s="1">
        <f t="shared" si="9"/>
        <v>43</v>
      </c>
      <c r="B297" s="6">
        <v>44492</v>
      </c>
      <c r="C297" s="3">
        <f t="shared" si="10"/>
        <v>17.383333333333336</v>
      </c>
      <c r="D297" s="1">
        <v>14</v>
      </c>
      <c r="E297" s="1">
        <v>24</v>
      </c>
      <c r="F297" s="4">
        <v>10</v>
      </c>
      <c r="G297" s="4">
        <v>21</v>
      </c>
      <c r="I297" s="4">
        <v>12.7</v>
      </c>
      <c r="J297" s="4">
        <v>22.6</v>
      </c>
    </row>
    <row r="298" spans="1:26" s="4" customFormat="1" x14ac:dyDescent="0.25">
      <c r="A298" s="1">
        <f t="shared" si="9"/>
        <v>43</v>
      </c>
      <c r="B298" s="6">
        <v>44493</v>
      </c>
      <c r="C298" s="3">
        <f t="shared" si="10"/>
        <v>0.58333333333333337</v>
      </c>
      <c r="D298" s="1">
        <v>0</v>
      </c>
      <c r="E298" s="1">
        <v>2</v>
      </c>
      <c r="F298" s="4">
        <v>0</v>
      </c>
      <c r="G298" s="4">
        <v>0</v>
      </c>
      <c r="I298" s="4">
        <v>1.5</v>
      </c>
      <c r="J298" s="4">
        <v>0</v>
      </c>
    </row>
    <row r="299" spans="1:26" s="4" customFormat="1" x14ac:dyDescent="0.25">
      <c r="A299" s="1">
        <f t="shared" si="9"/>
        <v>44</v>
      </c>
      <c r="B299" s="6">
        <v>44494</v>
      </c>
      <c r="C299" s="3">
        <f t="shared" si="10"/>
        <v>0</v>
      </c>
      <c r="D299" s="1">
        <v>0</v>
      </c>
      <c r="E299" s="1">
        <v>0</v>
      </c>
      <c r="F299" s="4">
        <v>0</v>
      </c>
      <c r="G299" s="4">
        <v>0</v>
      </c>
      <c r="I299" s="4">
        <v>0</v>
      </c>
      <c r="J299" s="4">
        <v>0</v>
      </c>
    </row>
    <row r="300" spans="1:26" s="4" customFormat="1" x14ac:dyDescent="0.25">
      <c r="A300" s="1">
        <f t="shared" si="9"/>
        <v>44</v>
      </c>
      <c r="B300" s="6">
        <v>44495</v>
      </c>
      <c r="C300" s="3">
        <f t="shared" si="10"/>
        <v>16.283333333333335</v>
      </c>
      <c r="D300" s="1">
        <v>19.5</v>
      </c>
      <c r="E300" s="1">
        <v>12</v>
      </c>
      <c r="F300" s="4">
        <v>17</v>
      </c>
      <c r="G300" s="4">
        <v>19</v>
      </c>
      <c r="I300" s="4">
        <v>15.8</v>
      </c>
      <c r="J300" s="4">
        <v>14.4</v>
      </c>
    </row>
    <row r="301" spans="1:26" s="4" customFormat="1" x14ac:dyDescent="0.25">
      <c r="A301" s="1">
        <f t="shared" si="9"/>
        <v>44</v>
      </c>
      <c r="B301" s="6">
        <v>44496</v>
      </c>
      <c r="C301" s="3">
        <f t="shared" si="10"/>
        <v>5.1849999999999996</v>
      </c>
      <c r="D301" s="1">
        <v>7</v>
      </c>
      <c r="E301" s="1">
        <v>4</v>
      </c>
      <c r="F301" s="4">
        <v>7.5</v>
      </c>
      <c r="G301" s="4">
        <v>5.5</v>
      </c>
      <c r="I301" s="4">
        <v>5.51</v>
      </c>
      <c r="J301" s="4">
        <v>1.6</v>
      </c>
    </row>
    <row r="302" spans="1:26" s="4" customFormat="1" x14ac:dyDescent="0.25">
      <c r="A302" s="1">
        <f t="shared" si="9"/>
        <v>44</v>
      </c>
      <c r="B302" s="6">
        <v>44497</v>
      </c>
      <c r="C302" s="3">
        <f t="shared" si="10"/>
        <v>0</v>
      </c>
      <c r="D302" s="1">
        <v>0</v>
      </c>
      <c r="E302" s="1">
        <v>0</v>
      </c>
      <c r="F302" s="4">
        <v>0</v>
      </c>
      <c r="G302" s="4">
        <v>0</v>
      </c>
      <c r="I302" s="4">
        <v>0</v>
      </c>
      <c r="J302" s="4">
        <v>0</v>
      </c>
    </row>
    <row r="303" spans="1:26" s="4" customFormat="1" x14ac:dyDescent="0.25">
      <c r="A303" s="1">
        <f t="shared" si="9"/>
        <v>44</v>
      </c>
      <c r="B303" s="6">
        <v>44498</v>
      </c>
      <c r="C303" s="3">
        <f t="shared" si="10"/>
        <v>9.3683333333333341</v>
      </c>
      <c r="D303" s="1">
        <v>10</v>
      </c>
      <c r="E303" s="1">
        <v>9</v>
      </c>
      <c r="F303" s="4">
        <v>5</v>
      </c>
      <c r="G303" s="4">
        <v>12</v>
      </c>
      <c r="I303" s="4">
        <v>15.01</v>
      </c>
      <c r="J303" s="4">
        <v>5.2</v>
      </c>
    </row>
    <row r="304" spans="1:26" s="25" customFormat="1" ht="15.75" thickBot="1" x14ac:dyDescent="0.3">
      <c r="A304" s="22">
        <f t="shared" si="9"/>
        <v>44</v>
      </c>
      <c r="B304" s="6">
        <v>44499</v>
      </c>
      <c r="C304" s="3">
        <f t="shared" si="10"/>
        <v>0</v>
      </c>
      <c r="D304" s="1">
        <v>0</v>
      </c>
      <c r="E304" s="1">
        <v>0</v>
      </c>
      <c r="F304" s="4">
        <v>0</v>
      </c>
      <c r="G304" s="4">
        <v>0</v>
      </c>
      <c r="H304" s="4"/>
      <c r="I304" s="4">
        <v>0</v>
      </c>
      <c r="J304" s="4">
        <v>0</v>
      </c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11" s="4" customFormat="1" ht="15.75" thickBot="1" x14ac:dyDescent="0.3">
      <c r="A305" s="16">
        <f t="shared" si="9"/>
        <v>44</v>
      </c>
      <c r="B305" s="6">
        <v>44500</v>
      </c>
      <c r="C305" s="3">
        <f t="shared" si="10"/>
        <v>0</v>
      </c>
      <c r="D305" s="1">
        <v>0</v>
      </c>
      <c r="E305" s="1">
        <v>0</v>
      </c>
      <c r="F305" s="4">
        <v>0</v>
      </c>
      <c r="G305" s="4">
        <v>0</v>
      </c>
      <c r="I305" s="4">
        <v>0</v>
      </c>
      <c r="J305" s="4">
        <v>0</v>
      </c>
      <c r="K305" s="24">
        <f>SUM(C275:C305)</f>
        <v>169.9316666666667</v>
      </c>
    </row>
    <row r="306" spans="1:11" s="4" customFormat="1" x14ac:dyDescent="0.25">
      <c r="A306" s="1">
        <f t="shared" si="9"/>
        <v>45</v>
      </c>
      <c r="B306" s="6">
        <v>44501</v>
      </c>
      <c r="C306" s="3">
        <f t="shared" si="10"/>
        <v>0</v>
      </c>
      <c r="D306" s="1">
        <v>0</v>
      </c>
      <c r="E306" s="1">
        <v>0</v>
      </c>
      <c r="F306" s="1">
        <v>0</v>
      </c>
      <c r="G306" s="1">
        <v>0</v>
      </c>
      <c r="H306" s="1"/>
      <c r="I306" s="1">
        <v>0</v>
      </c>
      <c r="J306" s="1">
        <v>0</v>
      </c>
    </row>
    <row r="307" spans="1:11" s="4" customFormat="1" x14ac:dyDescent="0.25">
      <c r="A307" s="1">
        <f t="shared" si="9"/>
        <v>45</v>
      </c>
      <c r="B307" s="6">
        <v>44502</v>
      </c>
      <c r="C307" s="3">
        <f t="shared" si="10"/>
        <v>0</v>
      </c>
      <c r="D307" s="1">
        <v>0</v>
      </c>
      <c r="E307" s="1">
        <v>0</v>
      </c>
      <c r="F307" s="1">
        <v>0</v>
      </c>
      <c r="G307" s="1">
        <v>0</v>
      </c>
      <c r="H307" s="1"/>
      <c r="I307" s="1">
        <v>0</v>
      </c>
      <c r="J307" s="1">
        <v>0</v>
      </c>
    </row>
    <row r="308" spans="1:11" s="4" customFormat="1" x14ac:dyDescent="0.25">
      <c r="A308" s="1">
        <f t="shared" si="9"/>
        <v>45</v>
      </c>
      <c r="B308" s="6">
        <v>44503</v>
      </c>
      <c r="C308" s="3">
        <f t="shared" si="10"/>
        <v>0</v>
      </c>
      <c r="D308" s="1">
        <v>0</v>
      </c>
      <c r="E308" s="1">
        <v>0</v>
      </c>
      <c r="F308" s="1">
        <v>0</v>
      </c>
      <c r="G308" s="1">
        <v>0</v>
      </c>
      <c r="H308" s="1"/>
      <c r="I308" s="1">
        <v>0</v>
      </c>
      <c r="J308" s="1">
        <v>0</v>
      </c>
    </row>
    <row r="309" spans="1:11" s="4" customFormat="1" x14ac:dyDescent="0.25">
      <c r="A309" s="1">
        <f t="shared" si="9"/>
        <v>45</v>
      </c>
      <c r="B309" s="6">
        <v>44504</v>
      </c>
      <c r="C309" s="3">
        <f t="shared" si="10"/>
        <v>0</v>
      </c>
      <c r="D309" s="1">
        <v>0</v>
      </c>
      <c r="E309" s="1">
        <v>0</v>
      </c>
      <c r="F309" s="1">
        <v>0</v>
      </c>
      <c r="G309" s="1">
        <v>0</v>
      </c>
      <c r="H309" s="1"/>
      <c r="I309" s="1">
        <v>0</v>
      </c>
      <c r="J309" s="1">
        <v>0</v>
      </c>
    </row>
    <row r="310" spans="1:11" s="4" customFormat="1" x14ac:dyDescent="0.25">
      <c r="A310" s="1">
        <f t="shared" si="9"/>
        <v>45</v>
      </c>
      <c r="B310" s="6">
        <v>44505</v>
      </c>
      <c r="C310" s="3">
        <f t="shared" si="10"/>
        <v>0</v>
      </c>
      <c r="D310" s="1">
        <v>0</v>
      </c>
      <c r="E310" s="1">
        <v>0</v>
      </c>
      <c r="F310" s="1">
        <v>0</v>
      </c>
      <c r="G310" s="1">
        <v>0</v>
      </c>
      <c r="H310" s="1"/>
      <c r="I310" s="1">
        <v>0</v>
      </c>
      <c r="J310" s="1">
        <v>0</v>
      </c>
    </row>
    <row r="311" spans="1:11" s="4" customFormat="1" x14ac:dyDescent="0.25">
      <c r="A311" s="1">
        <f t="shared" si="9"/>
        <v>45</v>
      </c>
      <c r="B311" s="6">
        <v>44506</v>
      </c>
      <c r="C311" s="3">
        <f t="shared" si="10"/>
        <v>0</v>
      </c>
      <c r="D311" s="1">
        <v>0</v>
      </c>
      <c r="E311" s="1">
        <v>0</v>
      </c>
      <c r="F311" s="1">
        <v>0</v>
      </c>
      <c r="G311" s="1">
        <v>0</v>
      </c>
      <c r="H311" s="1"/>
      <c r="I311" s="1">
        <v>0</v>
      </c>
      <c r="J311" s="1">
        <v>0</v>
      </c>
    </row>
    <row r="312" spans="1:11" s="4" customFormat="1" x14ac:dyDescent="0.25">
      <c r="A312" s="1">
        <f t="shared" si="9"/>
        <v>45</v>
      </c>
      <c r="B312" s="6">
        <v>44507</v>
      </c>
      <c r="C312" s="3">
        <f t="shared" si="10"/>
        <v>0</v>
      </c>
      <c r="D312" s="1">
        <v>0</v>
      </c>
      <c r="E312" s="1">
        <v>0</v>
      </c>
      <c r="F312" s="1">
        <v>0</v>
      </c>
      <c r="G312" s="1">
        <v>0</v>
      </c>
      <c r="H312" s="1"/>
      <c r="I312" s="1">
        <v>0</v>
      </c>
      <c r="J312" s="1">
        <v>0</v>
      </c>
    </row>
    <row r="313" spans="1:11" s="4" customFormat="1" x14ac:dyDescent="0.25">
      <c r="A313" s="1">
        <f t="shared" si="9"/>
        <v>46</v>
      </c>
      <c r="B313" s="6">
        <v>44508</v>
      </c>
      <c r="C313" s="3">
        <f t="shared" si="10"/>
        <v>0</v>
      </c>
      <c r="D313" s="1">
        <v>0</v>
      </c>
      <c r="E313" s="1">
        <v>0</v>
      </c>
      <c r="F313" s="1">
        <v>0</v>
      </c>
      <c r="G313" s="1">
        <v>0</v>
      </c>
      <c r="H313" s="1"/>
      <c r="I313" s="1">
        <v>0</v>
      </c>
      <c r="J313" s="1">
        <v>0</v>
      </c>
    </row>
    <row r="314" spans="1:11" s="4" customFormat="1" x14ac:dyDescent="0.25">
      <c r="A314" s="1">
        <f t="shared" si="9"/>
        <v>46</v>
      </c>
      <c r="B314" s="6">
        <v>44509</v>
      </c>
      <c r="C314" s="3">
        <f t="shared" si="10"/>
        <v>0</v>
      </c>
      <c r="D314" s="1">
        <v>0</v>
      </c>
      <c r="E314" s="1">
        <v>0</v>
      </c>
      <c r="F314" s="1">
        <v>0</v>
      </c>
      <c r="G314" s="1">
        <v>0</v>
      </c>
      <c r="H314" s="1"/>
      <c r="I314" s="1">
        <v>0</v>
      </c>
      <c r="J314" s="1">
        <v>0</v>
      </c>
    </row>
    <row r="315" spans="1:11" s="4" customFormat="1" x14ac:dyDescent="0.25">
      <c r="A315" s="1">
        <f t="shared" si="9"/>
        <v>46</v>
      </c>
      <c r="B315" s="6">
        <v>44510</v>
      </c>
      <c r="C315" s="3">
        <f t="shared" si="10"/>
        <v>5.4483333333333333</v>
      </c>
      <c r="D315" s="1">
        <v>0.5</v>
      </c>
      <c r="E315" s="1">
        <v>6</v>
      </c>
      <c r="F315" s="1">
        <v>19</v>
      </c>
      <c r="G315" s="1">
        <v>0.6</v>
      </c>
      <c r="H315" s="1"/>
      <c r="I315" s="1">
        <v>2.59</v>
      </c>
      <c r="J315" s="1">
        <v>4</v>
      </c>
    </row>
    <row r="316" spans="1:11" s="4" customFormat="1" x14ac:dyDescent="0.25">
      <c r="A316" s="1">
        <f t="shared" si="9"/>
        <v>46</v>
      </c>
      <c r="B316" s="6">
        <v>44511</v>
      </c>
      <c r="C316" s="3">
        <f t="shared" si="10"/>
        <v>0</v>
      </c>
      <c r="D316" s="1">
        <v>0</v>
      </c>
      <c r="E316" s="1">
        <v>0</v>
      </c>
      <c r="F316" s="1">
        <v>0</v>
      </c>
      <c r="G316" s="1">
        <v>0</v>
      </c>
      <c r="H316" s="1"/>
      <c r="I316" s="1">
        <v>0</v>
      </c>
      <c r="J316" s="1">
        <v>0</v>
      </c>
    </row>
    <row r="317" spans="1:11" s="4" customFormat="1" x14ac:dyDescent="0.25">
      <c r="A317" s="1">
        <f t="shared" si="9"/>
        <v>46</v>
      </c>
      <c r="B317" s="6">
        <v>44512</v>
      </c>
      <c r="C317" s="3">
        <f t="shared" si="10"/>
        <v>0</v>
      </c>
      <c r="D317" s="1">
        <v>0</v>
      </c>
      <c r="E317" s="1">
        <v>0</v>
      </c>
      <c r="F317" s="1">
        <v>0</v>
      </c>
      <c r="G317" s="1">
        <v>0</v>
      </c>
      <c r="H317" s="1"/>
      <c r="I317" s="1">
        <v>0</v>
      </c>
      <c r="J317" s="1">
        <v>0</v>
      </c>
    </row>
    <row r="318" spans="1:11" s="4" customFormat="1" x14ac:dyDescent="0.25">
      <c r="A318" s="1">
        <f t="shared" si="9"/>
        <v>46</v>
      </c>
      <c r="B318" s="6">
        <v>44513</v>
      </c>
      <c r="C318" s="3">
        <f t="shared" si="10"/>
        <v>0</v>
      </c>
      <c r="D318" s="1">
        <v>0</v>
      </c>
      <c r="E318" s="1">
        <v>0</v>
      </c>
      <c r="F318" s="1">
        <v>0</v>
      </c>
      <c r="G318" s="1">
        <v>0</v>
      </c>
      <c r="H318" s="1"/>
      <c r="I318" s="1">
        <v>0</v>
      </c>
      <c r="J318" s="1">
        <v>0</v>
      </c>
    </row>
    <row r="319" spans="1:11" s="4" customFormat="1" x14ac:dyDescent="0.25">
      <c r="A319" s="1">
        <f t="shared" si="9"/>
        <v>46</v>
      </c>
      <c r="B319" s="6">
        <v>44514</v>
      </c>
      <c r="C319" s="3">
        <f t="shared" si="10"/>
        <v>0</v>
      </c>
      <c r="D319" s="1">
        <v>0</v>
      </c>
      <c r="E319" s="1">
        <v>0</v>
      </c>
      <c r="F319" s="1">
        <v>0</v>
      </c>
      <c r="G319" s="1">
        <v>0</v>
      </c>
      <c r="H319" s="1"/>
      <c r="I319" s="1">
        <v>0</v>
      </c>
      <c r="J319" s="1">
        <v>0</v>
      </c>
    </row>
    <row r="320" spans="1:11" s="4" customFormat="1" x14ac:dyDescent="0.25">
      <c r="A320" s="1">
        <f t="shared" si="9"/>
        <v>47</v>
      </c>
      <c r="B320" s="6">
        <v>44515</v>
      </c>
      <c r="C320" s="3">
        <f t="shared" si="10"/>
        <v>0</v>
      </c>
      <c r="D320" s="1">
        <v>0</v>
      </c>
      <c r="E320" s="1">
        <v>0</v>
      </c>
      <c r="F320" s="1">
        <v>0</v>
      </c>
      <c r="G320" s="1">
        <v>0</v>
      </c>
      <c r="H320" s="1"/>
      <c r="I320" s="1">
        <v>0</v>
      </c>
      <c r="J320" s="1">
        <v>0</v>
      </c>
    </row>
    <row r="321" spans="1:11" s="4" customFormat="1" x14ac:dyDescent="0.25">
      <c r="A321" s="1">
        <f t="shared" si="9"/>
        <v>47</v>
      </c>
      <c r="B321" s="6">
        <v>44516</v>
      </c>
      <c r="C321" s="3">
        <f t="shared" si="10"/>
        <v>0</v>
      </c>
      <c r="D321" s="1">
        <v>0</v>
      </c>
      <c r="E321" s="1">
        <v>0</v>
      </c>
      <c r="F321" s="1">
        <v>0</v>
      </c>
      <c r="G321" s="1">
        <v>0</v>
      </c>
      <c r="H321" s="1"/>
      <c r="I321" s="1">
        <v>0</v>
      </c>
      <c r="J321" s="1">
        <v>0</v>
      </c>
    </row>
    <row r="322" spans="1:11" s="4" customFormat="1" x14ac:dyDescent="0.25">
      <c r="A322" s="1">
        <f t="shared" ref="A322:A365" si="11">WEEKNUM($B322,2)</f>
        <v>47</v>
      </c>
      <c r="B322" s="6">
        <v>44517</v>
      </c>
      <c r="C322" s="3">
        <f t="shared" si="10"/>
        <v>0</v>
      </c>
      <c r="D322" s="1">
        <v>0</v>
      </c>
      <c r="E322" s="1">
        <v>0</v>
      </c>
      <c r="F322" s="1">
        <v>0</v>
      </c>
      <c r="G322" s="1">
        <v>0</v>
      </c>
      <c r="H322" s="1"/>
      <c r="I322" s="1">
        <v>0</v>
      </c>
      <c r="J322" s="1">
        <v>0</v>
      </c>
    </row>
    <row r="323" spans="1:11" s="4" customFormat="1" x14ac:dyDescent="0.25">
      <c r="A323" s="1">
        <f t="shared" si="11"/>
        <v>47</v>
      </c>
      <c r="B323" s="6">
        <v>44518</v>
      </c>
      <c r="C323" s="3">
        <f t="shared" ref="C323:C366" si="12">AVERAGE(D323:J323)</f>
        <v>0</v>
      </c>
      <c r="D323" s="1">
        <v>0</v>
      </c>
      <c r="E323" s="1">
        <v>0</v>
      </c>
      <c r="F323" s="1">
        <v>0</v>
      </c>
      <c r="G323" s="1">
        <v>0</v>
      </c>
      <c r="H323" s="1"/>
      <c r="I323" s="1">
        <v>0</v>
      </c>
      <c r="J323" s="1">
        <v>0</v>
      </c>
    </row>
    <row r="324" spans="1:11" s="4" customFormat="1" x14ac:dyDescent="0.25">
      <c r="A324" s="1">
        <f t="shared" si="11"/>
        <v>47</v>
      </c>
      <c r="B324" s="6">
        <v>44519</v>
      </c>
      <c r="C324" s="3">
        <f t="shared" si="12"/>
        <v>0</v>
      </c>
      <c r="D324" s="1">
        <v>0</v>
      </c>
      <c r="E324" s="1">
        <v>0</v>
      </c>
      <c r="F324" s="1">
        <v>0</v>
      </c>
      <c r="G324" s="1">
        <v>0</v>
      </c>
      <c r="H324" s="1"/>
      <c r="I324" s="1">
        <v>0</v>
      </c>
      <c r="J324" s="1">
        <v>0</v>
      </c>
    </row>
    <row r="325" spans="1:11" s="4" customFormat="1" x14ac:dyDescent="0.25">
      <c r="A325" s="1">
        <f t="shared" si="11"/>
        <v>47</v>
      </c>
      <c r="B325" s="6">
        <v>44520</v>
      </c>
      <c r="C325" s="3">
        <f t="shared" si="12"/>
        <v>0</v>
      </c>
      <c r="D325" s="1">
        <v>0</v>
      </c>
      <c r="E325" s="1">
        <v>0</v>
      </c>
      <c r="F325" s="1">
        <v>0</v>
      </c>
      <c r="G325" s="1">
        <v>0</v>
      </c>
      <c r="H325" s="1"/>
      <c r="I325" s="1">
        <v>0</v>
      </c>
      <c r="J325" s="1">
        <v>0</v>
      </c>
    </row>
    <row r="326" spans="1:11" s="4" customFormat="1" x14ac:dyDescent="0.25">
      <c r="A326" s="1">
        <f t="shared" si="11"/>
        <v>47</v>
      </c>
      <c r="B326" s="6">
        <v>44521</v>
      </c>
      <c r="C326" s="3">
        <f t="shared" si="12"/>
        <v>0</v>
      </c>
      <c r="D326" s="1">
        <v>0</v>
      </c>
      <c r="E326" s="1">
        <v>0</v>
      </c>
      <c r="F326" s="1">
        <v>0</v>
      </c>
      <c r="G326" s="1">
        <v>0</v>
      </c>
      <c r="H326" s="1"/>
      <c r="I326" s="1">
        <v>0</v>
      </c>
      <c r="J326" s="1">
        <v>0</v>
      </c>
    </row>
    <row r="327" spans="1:11" s="4" customFormat="1" x14ac:dyDescent="0.25">
      <c r="A327" s="1">
        <f t="shared" si="11"/>
        <v>48</v>
      </c>
      <c r="B327" s="6">
        <v>44522</v>
      </c>
      <c r="C327" s="3">
        <f t="shared" si="12"/>
        <v>0</v>
      </c>
      <c r="D327" s="1">
        <v>0</v>
      </c>
      <c r="E327" s="1">
        <v>0</v>
      </c>
      <c r="F327" s="1">
        <v>0</v>
      </c>
      <c r="G327" s="1">
        <v>0</v>
      </c>
      <c r="H327" s="1"/>
      <c r="I327" s="1">
        <v>0</v>
      </c>
      <c r="J327" s="1">
        <v>0</v>
      </c>
    </row>
    <row r="328" spans="1:11" s="4" customFormat="1" x14ac:dyDescent="0.25">
      <c r="A328" s="1">
        <f t="shared" si="11"/>
        <v>48</v>
      </c>
      <c r="B328" s="6">
        <v>44523</v>
      </c>
      <c r="C328" s="3">
        <f t="shared" si="12"/>
        <v>0</v>
      </c>
      <c r="D328" s="1">
        <v>0</v>
      </c>
      <c r="E328" s="1">
        <v>0</v>
      </c>
      <c r="F328" s="1">
        <v>0</v>
      </c>
      <c r="G328" s="1">
        <v>0</v>
      </c>
      <c r="H328" s="1"/>
      <c r="I328" s="1">
        <v>0</v>
      </c>
      <c r="J328" s="1">
        <v>0</v>
      </c>
    </row>
    <row r="329" spans="1:11" s="4" customFormat="1" x14ac:dyDescent="0.25">
      <c r="A329" s="1">
        <f t="shared" si="11"/>
        <v>48</v>
      </c>
      <c r="B329" s="6">
        <v>44524</v>
      </c>
      <c r="C329" s="3">
        <f t="shared" si="12"/>
        <v>0</v>
      </c>
      <c r="D329" s="1">
        <v>0</v>
      </c>
      <c r="E329" s="1">
        <v>0</v>
      </c>
      <c r="F329" s="1">
        <v>0</v>
      </c>
      <c r="G329" s="1">
        <v>0</v>
      </c>
      <c r="H329" s="1"/>
      <c r="I329" s="1">
        <v>0</v>
      </c>
      <c r="J329" s="1">
        <v>0</v>
      </c>
    </row>
    <row r="330" spans="1:11" s="4" customFormat="1" x14ac:dyDescent="0.25">
      <c r="A330" s="1">
        <f t="shared" si="11"/>
        <v>48</v>
      </c>
      <c r="B330" s="6">
        <v>44525</v>
      </c>
      <c r="C330" s="3">
        <f t="shared" si="12"/>
        <v>0</v>
      </c>
      <c r="D330" s="1">
        <v>0</v>
      </c>
      <c r="E330" s="1">
        <v>0</v>
      </c>
      <c r="F330" s="1">
        <v>0</v>
      </c>
      <c r="G330" s="1">
        <v>0</v>
      </c>
      <c r="H330" s="1"/>
      <c r="I330" s="1">
        <v>0</v>
      </c>
      <c r="J330" s="1">
        <v>0</v>
      </c>
    </row>
    <row r="331" spans="1:11" s="4" customFormat="1" x14ac:dyDescent="0.25">
      <c r="A331" s="1">
        <f t="shared" si="11"/>
        <v>48</v>
      </c>
      <c r="B331" s="6">
        <v>44526</v>
      </c>
      <c r="C331" s="3">
        <f t="shared" si="12"/>
        <v>0</v>
      </c>
      <c r="D331" s="1">
        <v>0</v>
      </c>
      <c r="E331" s="1">
        <v>0</v>
      </c>
      <c r="F331" s="1">
        <v>0</v>
      </c>
      <c r="G331" s="1">
        <v>0</v>
      </c>
      <c r="H331" s="1"/>
      <c r="I331" s="1">
        <v>0</v>
      </c>
      <c r="J331" s="1">
        <v>0</v>
      </c>
    </row>
    <row r="332" spans="1:11" s="4" customFormat="1" x14ac:dyDescent="0.25">
      <c r="A332" s="1">
        <f t="shared" si="11"/>
        <v>48</v>
      </c>
      <c r="B332" s="6">
        <v>44527</v>
      </c>
      <c r="C332" s="3">
        <f t="shared" si="12"/>
        <v>0</v>
      </c>
      <c r="D332" s="1">
        <v>0</v>
      </c>
      <c r="E332" s="1">
        <v>0</v>
      </c>
      <c r="F332" s="1">
        <v>0</v>
      </c>
      <c r="G332" s="1">
        <v>0</v>
      </c>
      <c r="H332" s="1"/>
      <c r="I332" s="1">
        <v>0</v>
      </c>
      <c r="J332" s="1">
        <v>0</v>
      </c>
    </row>
    <row r="333" spans="1:11" s="4" customFormat="1" x14ac:dyDescent="0.25">
      <c r="A333" s="1"/>
      <c r="B333" s="6">
        <v>44528</v>
      </c>
      <c r="C333" s="3">
        <f t="shared" si="12"/>
        <v>0</v>
      </c>
      <c r="D333" s="1">
        <v>0</v>
      </c>
      <c r="E333" s="1">
        <v>0</v>
      </c>
      <c r="F333" s="1">
        <v>0</v>
      </c>
      <c r="G333" s="1">
        <v>0</v>
      </c>
      <c r="H333" s="1"/>
      <c r="I333" s="1">
        <v>0</v>
      </c>
      <c r="J333" s="1">
        <v>0</v>
      </c>
    </row>
    <row r="334" spans="1:11" s="4" customFormat="1" x14ac:dyDescent="0.25">
      <c r="A334" s="1">
        <f t="shared" si="11"/>
        <v>49</v>
      </c>
      <c r="B334" s="6">
        <v>44529</v>
      </c>
      <c r="C334" s="3">
        <f t="shared" si="12"/>
        <v>0</v>
      </c>
      <c r="D334" s="1">
        <v>0</v>
      </c>
      <c r="E334" s="1">
        <v>0</v>
      </c>
      <c r="F334" s="1">
        <v>0</v>
      </c>
      <c r="G334" s="1">
        <v>0</v>
      </c>
      <c r="H334" s="1"/>
      <c r="I334" s="1">
        <v>0</v>
      </c>
      <c r="J334" s="1">
        <v>0</v>
      </c>
    </row>
    <row r="335" spans="1:11" s="25" customFormat="1" ht="15.75" thickBot="1" x14ac:dyDescent="0.3">
      <c r="A335" s="22">
        <f t="shared" si="11"/>
        <v>49</v>
      </c>
      <c r="B335" s="6">
        <v>44530</v>
      </c>
      <c r="C335" s="3">
        <f t="shared" si="12"/>
        <v>0</v>
      </c>
      <c r="D335" s="18">
        <v>0</v>
      </c>
      <c r="E335" s="18">
        <v>0</v>
      </c>
      <c r="F335" s="18">
        <v>0</v>
      </c>
      <c r="G335" s="18">
        <v>0</v>
      </c>
      <c r="H335" s="18"/>
      <c r="I335" s="18">
        <v>0</v>
      </c>
      <c r="J335" s="18">
        <v>0</v>
      </c>
      <c r="K335" s="25">
        <f>SUM(C306:C335)</f>
        <v>5.4483333333333333</v>
      </c>
    </row>
    <row r="336" spans="1:11" s="4" customFormat="1" x14ac:dyDescent="0.25">
      <c r="A336" s="1">
        <f t="shared" si="11"/>
        <v>49</v>
      </c>
      <c r="B336" s="6">
        <v>44531</v>
      </c>
      <c r="C336" s="3">
        <f t="shared" si="12"/>
        <v>0</v>
      </c>
      <c r="D336" s="1">
        <v>0</v>
      </c>
      <c r="E336" s="1">
        <v>0</v>
      </c>
      <c r="F336" s="4">
        <v>0</v>
      </c>
      <c r="G336" s="4">
        <v>0</v>
      </c>
      <c r="H336" s="4">
        <v>0</v>
      </c>
      <c r="I336" s="4">
        <v>0</v>
      </c>
    </row>
    <row r="337" spans="1:9" s="4" customFormat="1" x14ac:dyDescent="0.25">
      <c r="A337" s="1">
        <f t="shared" si="11"/>
        <v>49</v>
      </c>
      <c r="B337" s="6">
        <v>44532</v>
      </c>
      <c r="C337" s="3">
        <f t="shared" si="12"/>
        <v>0</v>
      </c>
      <c r="D337" s="1">
        <v>0</v>
      </c>
      <c r="E337" s="1">
        <v>0</v>
      </c>
      <c r="F337" s="4">
        <v>0</v>
      </c>
      <c r="G337" s="4">
        <v>0</v>
      </c>
      <c r="H337" s="4">
        <v>0</v>
      </c>
      <c r="I337" s="4">
        <v>0</v>
      </c>
    </row>
    <row r="338" spans="1:9" s="4" customFormat="1" x14ac:dyDescent="0.25">
      <c r="A338" s="1">
        <f t="shared" si="11"/>
        <v>49</v>
      </c>
      <c r="B338" s="6">
        <v>44533</v>
      </c>
      <c r="C338" s="3">
        <f t="shared" si="12"/>
        <v>0</v>
      </c>
      <c r="D338" s="1">
        <v>0</v>
      </c>
      <c r="E338" s="1">
        <v>0</v>
      </c>
      <c r="F338" s="4">
        <v>0</v>
      </c>
      <c r="G338" s="4">
        <v>0</v>
      </c>
      <c r="H338" s="4">
        <v>0</v>
      </c>
      <c r="I338" s="4">
        <v>0</v>
      </c>
    </row>
    <row r="339" spans="1:9" s="4" customFormat="1" x14ac:dyDescent="0.25">
      <c r="A339" s="1">
        <f t="shared" si="11"/>
        <v>49</v>
      </c>
      <c r="B339" s="6">
        <v>44534</v>
      </c>
      <c r="C339" s="3">
        <f t="shared" si="12"/>
        <v>0</v>
      </c>
      <c r="D339" s="1">
        <v>0</v>
      </c>
      <c r="E339" s="1">
        <v>0</v>
      </c>
      <c r="F339" s="4">
        <v>0</v>
      </c>
      <c r="G339" s="4">
        <v>0</v>
      </c>
      <c r="H339" s="4">
        <v>0</v>
      </c>
      <c r="I339" s="4">
        <v>0</v>
      </c>
    </row>
    <row r="340" spans="1:9" s="4" customFormat="1" x14ac:dyDescent="0.25">
      <c r="A340" s="1">
        <f t="shared" si="11"/>
        <v>49</v>
      </c>
      <c r="B340" s="6">
        <v>44535</v>
      </c>
      <c r="C340" s="3">
        <f t="shared" si="12"/>
        <v>0</v>
      </c>
      <c r="D340" s="1">
        <v>0</v>
      </c>
      <c r="E340" s="1">
        <v>0</v>
      </c>
      <c r="F340" s="4">
        <v>0</v>
      </c>
      <c r="G340" s="4">
        <v>0</v>
      </c>
      <c r="H340" s="4">
        <v>0</v>
      </c>
      <c r="I340" s="4">
        <v>0</v>
      </c>
    </row>
    <row r="341" spans="1:9" s="4" customFormat="1" x14ac:dyDescent="0.25">
      <c r="A341" s="1">
        <f t="shared" si="11"/>
        <v>50</v>
      </c>
      <c r="B341" s="6">
        <v>44536</v>
      </c>
      <c r="C341" s="3">
        <f t="shared" si="12"/>
        <v>0</v>
      </c>
      <c r="D341" s="1">
        <v>0</v>
      </c>
      <c r="E341" s="1">
        <v>0</v>
      </c>
      <c r="F341" s="4">
        <v>0</v>
      </c>
      <c r="G341" s="4">
        <v>0</v>
      </c>
      <c r="H341" s="4">
        <v>0</v>
      </c>
      <c r="I341" s="4">
        <v>0</v>
      </c>
    </row>
    <row r="342" spans="1:9" s="4" customFormat="1" x14ac:dyDescent="0.25">
      <c r="A342" s="1">
        <f t="shared" si="11"/>
        <v>50</v>
      </c>
      <c r="B342" s="6">
        <v>44537</v>
      </c>
      <c r="C342" s="3">
        <f t="shared" si="12"/>
        <v>0</v>
      </c>
      <c r="D342" s="1">
        <v>0</v>
      </c>
      <c r="E342" s="1">
        <v>0</v>
      </c>
      <c r="F342" s="4">
        <v>0</v>
      </c>
      <c r="G342" s="4">
        <v>0</v>
      </c>
      <c r="H342" s="4">
        <v>0</v>
      </c>
      <c r="I342" s="4">
        <v>0</v>
      </c>
    </row>
    <row r="343" spans="1:9" s="4" customFormat="1" x14ac:dyDescent="0.25">
      <c r="A343" s="1">
        <f t="shared" si="11"/>
        <v>50</v>
      </c>
      <c r="B343" s="6">
        <v>44538</v>
      </c>
      <c r="C343" s="3">
        <f t="shared" si="12"/>
        <v>0</v>
      </c>
      <c r="D343" s="1">
        <v>0</v>
      </c>
      <c r="E343" s="1">
        <v>0</v>
      </c>
      <c r="F343" s="4">
        <v>0</v>
      </c>
      <c r="G343" s="4">
        <v>0</v>
      </c>
      <c r="H343" s="4">
        <v>0</v>
      </c>
      <c r="I343" s="4">
        <v>0</v>
      </c>
    </row>
    <row r="344" spans="1:9" s="4" customFormat="1" x14ac:dyDescent="0.25">
      <c r="A344" s="1">
        <f t="shared" si="11"/>
        <v>50</v>
      </c>
      <c r="B344" s="6">
        <v>44539</v>
      </c>
      <c r="C344" s="3">
        <f t="shared" si="12"/>
        <v>0</v>
      </c>
      <c r="D344" s="1">
        <v>0</v>
      </c>
      <c r="E344" s="1">
        <v>0</v>
      </c>
      <c r="F344" s="4">
        <v>0</v>
      </c>
      <c r="G344" s="4">
        <v>0</v>
      </c>
      <c r="H344" s="4">
        <v>0</v>
      </c>
      <c r="I344" s="4">
        <v>0</v>
      </c>
    </row>
    <row r="345" spans="1:9" s="4" customFormat="1" x14ac:dyDescent="0.25">
      <c r="A345" s="1">
        <f t="shared" si="11"/>
        <v>50</v>
      </c>
      <c r="B345" s="6">
        <v>44540</v>
      </c>
      <c r="C345" s="3">
        <f t="shared" si="12"/>
        <v>0</v>
      </c>
      <c r="D345" s="1">
        <v>0</v>
      </c>
      <c r="E345" s="1">
        <v>0</v>
      </c>
      <c r="F345" s="4">
        <v>0</v>
      </c>
      <c r="G345" s="4">
        <v>0</v>
      </c>
      <c r="H345" s="4">
        <v>0</v>
      </c>
      <c r="I345" s="4">
        <v>0</v>
      </c>
    </row>
    <row r="346" spans="1:9" s="4" customFormat="1" x14ac:dyDescent="0.25">
      <c r="A346" s="1">
        <f t="shared" si="11"/>
        <v>50</v>
      </c>
      <c r="B346" s="6">
        <v>44541</v>
      </c>
      <c r="C346" s="3">
        <f t="shared" si="12"/>
        <v>0</v>
      </c>
      <c r="D346" s="1">
        <v>0</v>
      </c>
      <c r="E346" s="1">
        <v>0</v>
      </c>
      <c r="F346" s="4">
        <v>0</v>
      </c>
      <c r="G346" s="4">
        <v>0</v>
      </c>
      <c r="H346" s="4">
        <v>0</v>
      </c>
      <c r="I346" s="4">
        <v>0</v>
      </c>
    </row>
    <row r="347" spans="1:9" s="4" customFormat="1" x14ac:dyDescent="0.25">
      <c r="A347" s="1">
        <f t="shared" si="11"/>
        <v>50</v>
      </c>
      <c r="B347" s="6">
        <v>44542</v>
      </c>
      <c r="C347" s="3">
        <f t="shared" si="12"/>
        <v>0</v>
      </c>
      <c r="D347" s="1">
        <v>0</v>
      </c>
      <c r="E347" s="1">
        <v>0</v>
      </c>
      <c r="F347" s="4">
        <v>0</v>
      </c>
      <c r="G347" s="4">
        <v>0</v>
      </c>
      <c r="H347" s="4">
        <v>0</v>
      </c>
      <c r="I347" s="4">
        <v>0</v>
      </c>
    </row>
    <row r="348" spans="1:9" s="4" customFormat="1" x14ac:dyDescent="0.25">
      <c r="A348" s="1">
        <f t="shared" si="11"/>
        <v>51</v>
      </c>
      <c r="B348" s="6">
        <v>44543</v>
      </c>
      <c r="C348" s="3">
        <f t="shared" si="12"/>
        <v>0</v>
      </c>
      <c r="D348" s="1">
        <v>0</v>
      </c>
      <c r="E348" s="1">
        <v>0</v>
      </c>
      <c r="F348" s="4">
        <v>0</v>
      </c>
      <c r="G348" s="4">
        <v>0</v>
      </c>
      <c r="H348" s="4">
        <v>0</v>
      </c>
      <c r="I348" s="4">
        <v>0</v>
      </c>
    </row>
    <row r="349" spans="1:9" s="4" customFormat="1" x14ac:dyDescent="0.25">
      <c r="A349" s="1">
        <f t="shared" si="11"/>
        <v>51</v>
      </c>
      <c r="B349" s="6">
        <v>44544</v>
      </c>
      <c r="C349" s="3">
        <f t="shared" si="12"/>
        <v>0</v>
      </c>
      <c r="D349" s="1">
        <v>0</v>
      </c>
      <c r="E349" s="1">
        <v>0</v>
      </c>
      <c r="F349" s="4">
        <v>0</v>
      </c>
      <c r="G349" s="4">
        <v>0</v>
      </c>
      <c r="H349" s="4">
        <v>0</v>
      </c>
      <c r="I349" s="4">
        <v>0</v>
      </c>
    </row>
    <row r="350" spans="1:9" s="4" customFormat="1" x14ac:dyDescent="0.25">
      <c r="A350" s="1">
        <f t="shared" si="11"/>
        <v>51</v>
      </c>
      <c r="B350" s="6">
        <v>44545</v>
      </c>
      <c r="C350" s="3">
        <f t="shared" si="12"/>
        <v>0</v>
      </c>
      <c r="D350" s="1">
        <v>0</v>
      </c>
      <c r="E350" s="1">
        <v>0</v>
      </c>
      <c r="F350" s="4">
        <v>0</v>
      </c>
      <c r="G350" s="4">
        <v>0</v>
      </c>
      <c r="H350" s="4">
        <v>0</v>
      </c>
      <c r="I350" s="4">
        <v>0</v>
      </c>
    </row>
    <row r="351" spans="1:9" s="4" customFormat="1" x14ac:dyDescent="0.25">
      <c r="A351" s="1">
        <f t="shared" si="11"/>
        <v>51</v>
      </c>
      <c r="B351" s="6">
        <v>44546</v>
      </c>
      <c r="C351" s="3">
        <f t="shared" si="12"/>
        <v>0</v>
      </c>
      <c r="D351" s="1">
        <v>0</v>
      </c>
      <c r="E351" s="1">
        <v>0</v>
      </c>
      <c r="F351" s="4">
        <v>0</v>
      </c>
      <c r="G351" s="4">
        <v>0</v>
      </c>
      <c r="H351" s="4">
        <v>0</v>
      </c>
      <c r="I351" s="4">
        <v>0</v>
      </c>
    </row>
    <row r="352" spans="1:9" s="4" customFormat="1" x14ac:dyDescent="0.25">
      <c r="A352" s="1">
        <f t="shared" si="11"/>
        <v>51</v>
      </c>
      <c r="B352" s="6">
        <v>44547</v>
      </c>
      <c r="C352" s="3">
        <f t="shared" si="12"/>
        <v>0</v>
      </c>
      <c r="D352" s="1">
        <v>0</v>
      </c>
      <c r="E352" s="1">
        <v>0</v>
      </c>
      <c r="F352" s="4">
        <v>0</v>
      </c>
      <c r="G352" s="4">
        <v>0</v>
      </c>
      <c r="H352" s="4">
        <v>0</v>
      </c>
      <c r="I352" s="4">
        <v>0</v>
      </c>
    </row>
    <row r="353" spans="1:11" s="4" customFormat="1" x14ac:dyDescent="0.25">
      <c r="A353" s="1">
        <f t="shared" si="11"/>
        <v>51</v>
      </c>
      <c r="B353" s="6">
        <v>44548</v>
      </c>
      <c r="C353" s="3">
        <f t="shared" si="12"/>
        <v>0</v>
      </c>
      <c r="D353" s="1">
        <v>0</v>
      </c>
      <c r="E353" s="1">
        <v>0</v>
      </c>
      <c r="F353" s="4">
        <v>0</v>
      </c>
      <c r="G353" s="4">
        <v>0</v>
      </c>
      <c r="H353" s="4">
        <v>0</v>
      </c>
      <c r="I353" s="4">
        <v>0</v>
      </c>
    </row>
    <row r="354" spans="1:11" s="4" customFormat="1" x14ac:dyDescent="0.25">
      <c r="A354" s="1">
        <f t="shared" si="11"/>
        <v>51</v>
      </c>
      <c r="B354" s="6">
        <v>44549</v>
      </c>
      <c r="C354" s="3">
        <f t="shared" si="12"/>
        <v>0</v>
      </c>
      <c r="D354" s="1">
        <v>0</v>
      </c>
      <c r="E354" s="1">
        <v>0</v>
      </c>
      <c r="F354" s="4">
        <v>0</v>
      </c>
      <c r="G354" s="4">
        <v>0</v>
      </c>
      <c r="H354" s="4">
        <v>0</v>
      </c>
      <c r="I354" s="4">
        <v>0</v>
      </c>
    </row>
    <row r="355" spans="1:11" s="4" customFormat="1" x14ac:dyDescent="0.25">
      <c r="A355" s="1">
        <f t="shared" si="11"/>
        <v>52</v>
      </c>
      <c r="B355" s="6">
        <v>44550</v>
      </c>
      <c r="C355" s="3">
        <f t="shared" si="12"/>
        <v>0</v>
      </c>
      <c r="D355" s="1">
        <v>0</v>
      </c>
      <c r="E355" s="1">
        <v>0</v>
      </c>
      <c r="F355" s="4">
        <v>0</v>
      </c>
      <c r="G355" s="4">
        <v>0</v>
      </c>
      <c r="H355" s="4">
        <v>0</v>
      </c>
      <c r="I355" s="4">
        <v>0</v>
      </c>
    </row>
    <row r="356" spans="1:11" s="4" customFormat="1" x14ac:dyDescent="0.25">
      <c r="A356" s="1">
        <f t="shared" si="11"/>
        <v>52</v>
      </c>
      <c r="B356" s="6">
        <v>44551</v>
      </c>
      <c r="C356" s="3">
        <f t="shared" si="12"/>
        <v>0</v>
      </c>
      <c r="D356" s="1">
        <v>0</v>
      </c>
      <c r="E356" s="1">
        <v>0</v>
      </c>
      <c r="F356" s="4">
        <v>0</v>
      </c>
      <c r="G356" s="4">
        <v>0</v>
      </c>
      <c r="H356" s="4">
        <v>0</v>
      </c>
      <c r="I356" s="4">
        <v>0</v>
      </c>
    </row>
    <row r="357" spans="1:11" s="4" customFormat="1" x14ac:dyDescent="0.25">
      <c r="A357" s="1">
        <f t="shared" si="11"/>
        <v>52</v>
      </c>
      <c r="B357" s="6">
        <v>44552</v>
      </c>
      <c r="C357" s="3">
        <f t="shared" si="12"/>
        <v>0</v>
      </c>
      <c r="D357" s="1">
        <v>0</v>
      </c>
      <c r="E357" s="1">
        <v>0</v>
      </c>
      <c r="F357" s="4">
        <v>0</v>
      </c>
      <c r="G357" s="4">
        <v>0</v>
      </c>
      <c r="H357" s="4">
        <v>0</v>
      </c>
      <c r="I357" s="4">
        <v>0</v>
      </c>
    </row>
    <row r="358" spans="1:11" s="4" customFormat="1" x14ac:dyDescent="0.25">
      <c r="A358" s="1">
        <f t="shared" si="11"/>
        <v>52</v>
      </c>
      <c r="B358" s="6">
        <v>44553</v>
      </c>
      <c r="C358" s="3">
        <f t="shared" si="12"/>
        <v>0</v>
      </c>
      <c r="D358" s="1">
        <v>0</v>
      </c>
      <c r="E358" s="1">
        <v>0</v>
      </c>
      <c r="F358" s="4">
        <v>0</v>
      </c>
      <c r="G358" s="4">
        <v>0</v>
      </c>
      <c r="H358" s="4">
        <v>0</v>
      </c>
      <c r="I358" s="4">
        <v>0</v>
      </c>
    </row>
    <row r="359" spans="1:11" s="4" customFormat="1" x14ac:dyDescent="0.25">
      <c r="A359" s="1">
        <f t="shared" si="11"/>
        <v>52</v>
      </c>
      <c r="B359" s="6">
        <v>44554</v>
      </c>
      <c r="C359" s="3">
        <f t="shared" si="12"/>
        <v>0</v>
      </c>
      <c r="D359" s="1">
        <v>0</v>
      </c>
      <c r="E359" s="1">
        <v>0</v>
      </c>
      <c r="F359" s="4">
        <v>0</v>
      </c>
      <c r="G359" s="4">
        <v>0</v>
      </c>
      <c r="H359" s="4">
        <v>0</v>
      </c>
      <c r="I359" s="4">
        <v>0</v>
      </c>
    </row>
    <row r="360" spans="1:11" s="4" customFormat="1" x14ac:dyDescent="0.25">
      <c r="A360" s="1">
        <f t="shared" si="11"/>
        <v>52</v>
      </c>
      <c r="B360" s="6">
        <v>44555</v>
      </c>
      <c r="C360" s="3">
        <f t="shared" si="12"/>
        <v>0</v>
      </c>
      <c r="D360" s="30">
        <v>0</v>
      </c>
      <c r="E360" s="30">
        <v>0</v>
      </c>
      <c r="F360" s="29">
        <v>0</v>
      </c>
      <c r="G360" s="29">
        <v>0</v>
      </c>
      <c r="H360" s="29">
        <v>0</v>
      </c>
      <c r="I360" s="29">
        <v>0</v>
      </c>
      <c r="J360" s="29"/>
    </row>
    <row r="361" spans="1:11" s="4" customFormat="1" x14ac:dyDescent="0.25">
      <c r="A361" s="1">
        <f t="shared" si="11"/>
        <v>52</v>
      </c>
      <c r="B361" s="6">
        <v>44556</v>
      </c>
      <c r="C361" s="3">
        <f t="shared" si="12"/>
        <v>0</v>
      </c>
      <c r="D361" s="30">
        <v>0</v>
      </c>
      <c r="E361" s="30">
        <v>0</v>
      </c>
      <c r="F361" s="29">
        <v>0</v>
      </c>
      <c r="G361" s="29">
        <v>0</v>
      </c>
      <c r="H361" s="29">
        <v>0</v>
      </c>
      <c r="I361" s="29">
        <v>0</v>
      </c>
      <c r="J361" s="29"/>
    </row>
    <row r="362" spans="1:11" s="4" customFormat="1" x14ac:dyDescent="0.25">
      <c r="A362" s="1">
        <f t="shared" si="11"/>
        <v>53</v>
      </c>
      <c r="B362" s="6">
        <v>44557</v>
      </c>
      <c r="C362" s="3">
        <f t="shared" si="12"/>
        <v>0</v>
      </c>
      <c r="D362" s="30">
        <v>0</v>
      </c>
      <c r="E362" s="30">
        <v>0</v>
      </c>
      <c r="F362" s="29">
        <v>0</v>
      </c>
      <c r="G362" s="29">
        <v>0</v>
      </c>
      <c r="H362" s="29">
        <v>0</v>
      </c>
      <c r="I362" s="29">
        <v>0</v>
      </c>
      <c r="J362" s="29"/>
    </row>
    <row r="363" spans="1:11" s="4" customFormat="1" x14ac:dyDescent="0.25">
      <c r="A363" s="1">
        <f t="shared" si="11"/>
        <v>53</v>
      </c>
      <c r="B363" s="6">
        <v>44558</v>
      </c>
      <c r="C363" s="3">
        <f t="shared" si="12"/>
        <v>0</v>
      </c>
      <c r="D363" s="30">
        <v>0</v>
      </c>
      <c r="E363" s="30">
        <v>0</v>
      </c>
      <c r="F363" s="29">
        <v>0</v>
      </c>
      <c r="G363" s="29">
        <v>0</v>
      </c>
      <c r="H363" s="29">
        <v>0</v>
      </c>
      <c r="I363" s="29">
        <v>0</v>
      </c>
      <c r="J363" s="29"/>
    </row>
    <row r="364" spans="1:11" s="4" customFormat="1" x14ac:dyDescent="0.25">
      <c r="A364" s="1">
        <f t="shared" si="11"/>
        <v>53</v>
      </c>
      <c r="B364" s="6">
        <v>44559</v>
      </c>
      <c r="C364" s="3">
        <f t="shared" si="12"/>
        <v>0</v>
      </c>
      <c r="D364" s="30">
        <v>0</v>
      </c>
      <c r="E364" s="30">
        <v>0</v>
      </c>
      <c r="F364" s="29">
        <v>0</v>
      </c>
      <c r="G364" s="29">
        <v>0</v>
      </c>
      <c r="H364" s="29">
        <v>0</v>
      </c>
      <c r="I364" s="29">
        <v>0</v>
      </c>
      <c r="J364" s="29"/>
    </row>
    <row r="365" spans="1:11" s="4" customFormat="1" x14ac:dyDescent="0.25">
      <c r="A365" s="18">
        <f t="shared" si="11"/>
        <v>53</v>
      </c>
      <c r="B365" s="6">
        <v>44560</v>
      </c>
      <c r="C365" s="3">
        <f t="shared" si="12"/>
        <v>0</v>
      </c>
      <c r="D365" s="30">
        <v>0</v>
      </c>
      <c r="E365" s="30">
        <v>0</v>
      </c>
      <c r="F365" s="29">
        <v>0</v>
      </c>
      <c r="G365" s="29">
        <v>0</v>
      </c>
      <c r="H365" s="29">
        <v>0</v>
      </c>
      <c r="I365" s="29">
        <v>0</v>
      </c>
      <c r="J365" s="29"/>
    </row>
    <row r="366" spans="1:11" s="4" customFormat="1" x14ac:dyDescent="0.25">
      <c r="B366" s="6">
        <v>44561</v>
      </c>
      <c r="C366" s="3">
        <f t="shared" si="12"/>
        <v>0</v>
      </c>
      <c r="D366" s="30">
        <v>0</v>
      </c>
      <c r="E366" s="30">
        <v>0</v>
      </c>
      <c r="F366" s="29">
        <v>0</v>
      </c>
      <c r="G366" s="29">
        <v>0</v>
      </c>
      <c r="H366" s="29">
        <v>0</v>
      </c>
      <c r="I366" s="29">
        <v>0</v>
      </c>
      <c r="J366" s="29"/>
      <c r="K366" s="4">
        <f>SUM(C336:C366)</f>
        <v>0</v>
      </c>
    </row>
    <row r="367" spans="1:11" ht="30" x14ac:dyDescent="0.25">
      <c r="B367" s="27" t="s">
        <v>20</v>
      </c>
      <c r="D367" s="28">
        <f>SUM(D2:D365)</f>
        <v>1178.8000000000002</v>
      </c>
      <c r="E367" s="28">
        <f t="shared" ref="E367" si="13">SUM(E2:E365)</f>
        <v>1204.1500000000001</v>
      </c>
      <c r="F367" s="28"/>
      <c r="G367" s="28"/>
      <c r="H367" s="28"/>
      <c r="I367" s="28"/>
      <c r="J367" s="28"/>
    </row>
  </sheetData>
  <pageMargins left="0.7" right="0.7" top="0.75" bottom="0.75" header="0.3" footer="0.3"/>
  <pageSetup paperSize="8" scale="31" orientation="landscape" r:id="rId1"/>
  <rowBreaks count="3" manualBreakCount="3">
    <brk id="152" max="16383" man="1"/>
    <brk id="305" min="1" max="31" man="1"/>
    <brk id="367" max="16383" man="1"/>
  </rowBreaks>
  <colBreaks count="1" manualBreakCount="1">
    <brk id="26" max="1048575" man="1"/>
  </col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541"/>
  <sheetViews>
    <sheetView showGridLines="0" view="pageBreakPreview" topLeftCell="B1" zoomScale="70" zoomScaleNormal="44" zoomScaleSheetLayoutView="70" workbookViewId="0">
      <pane ySplit="1" topLeftCell="A5" activePane="bottomLeft" state="frozen"/>
      <selection activeCell="B1" sqref="B1"/>
      <selection pane="bottomLeft" activeCell="M13" sqref="M13"/>
    </sheetView>
  </sheetViews>
  <sheetFormatPr baseColWidth="10" defaultColWidth="9.140625" defaultRowHeight="15" x14ac:dyDescent="0.25"/>
  <cols>
    <col min="1" max="1" width="0" style="4" hidden="1" customWidth="1"/>
    <col min="2" max="2" width="14.85546875" style="4" customWidth="1"/>
    <col min="3" max="3" width="9.140625" style="28"/>
    <col min="4" max="4" width="10.28515625" style="1" customWidth="1"/>
    <col min="5" max="5" width="8.140625" style="1" bestFit="1" customWidth="1"/>
    <col min="6" max="6" width="16.42578125" style="1" customWidth="1"/>
    <col min="7" max="7" width="11.42578125" style="1" customWidth="1"/>
    <col min="8" max="9" width="11.5703125" style="1" customWidth="1"/>
    <col min="10" max="10" width="16.5703125" style="1" customWidth="1"/>
    <col min="11" max="11" width="13.85546875" style="1" customWidth="1"/>
    <col min="12" max="13" width="9.140625" style="4"/>
    <col min="14" max="14" width="19.85546875" style="4" bestFit="1" customWidth="1"/>
    <col min="15" max="39" width="9.140625" style="4"/>
    <col min="40" max="16384" width="9.140625" style="29"/>
  </cols>
  <sheetData>
    <row r="1" spans="1:16" s="4" customFormat="1" x14ac:dyDescent="0.25">
      <c r="A1" s="1" t="s">
        <v>13</v>
      </c>
      <c r="B1" s="2" t="s">
        <v>14</v>
      </c>
      <c r="C1" s="38" t="s">
        <v>0</v>
      </c>
      <c r="D1" s="2" t="s">
        <v>21</v>
      </c>
      <c r="E1" s="2" t="s">
        <v>22</v>
      </c>
      <c r="F1" s="33" t="s">
        <v>28</v>
      </c>
      <c r="G1" s="33" t="s">
        <v>29</v>
      </c>
      <c r="H1" s="33" t="s">
        <v>30</v>
      </c>
      <c r="I1" s="33" t="s">
        <v>33</v>
      </c>
      <c r="J1" s="33" t="s">
        <v>31</v>
      </c>
      <c r="K1" s="33" t="s">
        <v>32</v>
      </c>
      <c r="N1" s="5"/>
    </row>
    <row r="2" spans="1:16" s="4" customFormat="1" x14ac:dyDescent="0.25">
      <c r="A2" s="1">
        <f>WEEKNUM($B2,2)</f>
        <v>1</v>
      </c>
      <c r="B2" s="6">
        <v>44562</v>
      </c>
      <c r="C2" s="39">
        <f>AVERAGE(D2:K2)</f>
        <v>0</v>
      </c>
      <c r="D2" s="30">
        <v>0</v>
      </c>
      <c r="E2" s="30">
        <v>0</v>
      </c>
      <c r="F2" s="30">
        <v>0</v>
      </c>
      <c r="G2" s="30">
        <v>0</v>
      </c>
      <c r="H2" s="30">
        <v>0</v>
      </c>
      <c r="I2" s="30"/>
      <c r="J2" s="30">
        <v>0</v>
      </c>
      <c r="K2" s="30"/>
    </row>
    <row r="3" spans="1:16" s="4" customFormat="1" x14ac:dyDescent="0.25">
      <c r="A3" s="1">
        <f t="shared" ref="A3:A66" si="0">WEEKNUM($B3,2)</f>
        <v>1</v>
      </c>
      <c r="B3" s="6">
        <v>44563</v>
      </c>
      <c r="C3" s="39">
        <f t="shared" ref="C3:C66" si="1">AVERAGE(D3:K3)</f>
        <v>0</v>
      </c>
      <c r="D3" s="30">
        <v>0</v>
      </c>
      <c r="E3" s="30">
        <v>0</v>
      </c>
      <c r="F3" s="30">
        <v>0</v>
      </c>
      <c r="G3" s="30">
        <v>0</v>
      </c>
      <c r="H3" s="30">
        <v>0</v>
      </c>
      <c r="I3" s="30"/>
      <c r="J3" s="30">
        <v>0</v>
      </c>
      <c r="K3" s="30"/>
    </row>
    <row r="4" spans="1:16" s="4" customFormat="1" x14ac:dyDescent="0.25">
      <c r="A4" s="1">
        <f t="shared" si="0"/>
        <v>2</v>
      </c>
      <c r="B4" s="6">
        <v>44564</v>
      </c>
      <c r="C4" s="39">
        <f t="shared" si="1"/>
        <v>0</v>
      </c>
      <c r="D4" s="30">
        <v>0</v>
      </c>
      <c r="E4" s="30">
        <v>0</v>
      </c>
      <c r="F4" s="30">
        <v>0</v>
      </c>
      <c r="G4" s="30">
        <v>0</v>
      </c>
      <c r="H4" s="30">
        <v>0</v>
      </c>
      <c r="I4" s="30"/>
      <c r="J4" s="30">
        <v>0</v>
      </c>
      <c r="K4" s="30"/>
    </row>
    <row r="5" spans="1:16" s="4" customFormat="1" x14ac:dyDescent="0.25">
      <c r="A5" s="1">
        <f t="shared" si="0"/>
        <v>2</v>
      </c>
      <c r="B5" s="6">
        <v>44565</v>
      </c>
      <c r="C5" s="39">
        <f t="shared" si="1"/>
        <v>0</v>
      </c>
      <c r="D5" s="30">
        <v>0</v>
      </c>
      <c r="E5" s="30">
        <v>0</v>
      </c>
      <c r="F5" s="30">
        <v>0</v>
      </c>
      <c r="G5" s="30">
        <v>0</v>
      </c>
      <c r="H5" s="30">
        <v>0</v>
      </c>
      <c r="I5" s="30"/>
      <c r="J5" s="30">
        <v>0</v>
      </c>
      <c r="K5" s="30"/>
    </row>
    <row r="6" spans="1:16" s="4" customFormat="1" x14ac:dyDescent="0.25">
      <c r="A6" s="1">
        <f t="shared" si="0"/>
        <v>2</v>
      </c>
      <c r="B6" s="6">
        <v>44566</v>
      </c>
      <c r="C6" s="39">
        <f t="shared" si="1"/>
        <v>0</v>
      </c>
      <c r="D6" s="30">
        <v>0</v>
      </c>
      <c r="E6" s="30">
        <v>0</v>
      </c>
      <c r="F6" s="30">
        <v>0</v>
      </c>
      <c r="G6" s="30">
        <v>0</v>
      </c>
      <c r="H6" s="30">
        <v>0</v>
      </c>
      <c r="I6" s="30"/>
      <c r="J6" s="30">
        <v>0</v>
      </c>
      <c r="K6" s="30"/>
      <c r="L6" s="7" t="s">
        <v>15</v>
      </c>
      <c r="M6" s="7" t="s">
        <v>16</v>
      </c>
      <c r="N6" s="7" t="s">
        <v>17</v>
      </c>
      <c r="O6" s="7" t="s">
        <v>18</v>
      </c>
      <c r="P6" s="7" t="s">
        <v>19</v>
      </c>
    </row>
    <row r="7" spans="1:16" s="4" customFormat="1" x14ac:dyDescent="0.25">
      <c r="A7" s="1">
        <f t="shared" si="0"/>
        <v>2</v>
      </c>
      <c r="B7" s="6">
        <v>44567</v>
      </c>
      <c r="C7" s="39">
        <f t="shared" si="1"/>
        <v>0</v>
      </c>
      <c r="D7" s="30">
        <v>0</v>
      </c>
      <c r="E7" s="30">
        <v>0</v>
      </c>
      <c r="F7" s="30">
        <v>0</v>
      </c>
      <c r="G7" s="30">
        <v>0</v>
      </c>
      <c r="H7" s="30">
        <v>0</v>
      </c>
      <c r="I7" s="30"/>
      <c r="J7" s="30">
        <v>0</v>
      </c>
      <c r="K7" s="30"/>
      <c r="L7" s="5" t="s">
        <v>1</v>
      </c>
      <c r="M7" s="4">
        <f>SUM($C$2:$C$32)</f>
        <v>0</v>
      </c>
      <c r="N7" s="4">
        <f>COUNTIF($D$2:$D$32,"&gt;0")</f>
        <v>0</v>
      </c>
      <c r="P7" s="4">
        <f>M7</f>
        <v>0</v>
      </c>
    </row>
    <row r="8" spans="1:16" s="4" customFormat="1" x14ac:dyDescent="0.25">
      <c r="A8" s="1">
        <f t="shared" si="0"/>
        <v>2</v>
      </c>
      <c r="B8" s="6">
        <v>44568</v>
      </c>
      <c r="C8" s="39">
        <f t="shared" si="1"/>
        <v>0</v>
      </c>
      <c r="D8" s="30">
        <v>0</v>
      </c>
      <c r="E8" s="30">
        <v>0</v>
      </c>
      <c r="F8" s="30">
        <v>0</v>
      </c>
      <c r="G8" s="30">
        <v>0</v>
      </c>
      <c r="H8" s="30">
        <v>0</v>
      </c>
      <c r="I8" s="30"/>
      <c r="J8" s="30">
        <v>0</v>
      </c>
      <c r="K8" s="30"/>
      <c r="L8" s="5" t="s">
        <v>2</v>
      </c>
      <c r="M8" s="8">
        <f>SUM($C$33:$C$60)</f>
        <v>0</v>
      </c>
      <c r="N8" s="4">
        <f>COUNTIF($D$33:$D$60,"&gt;0")</f>
        <v>0</v>
      </c>
      <c r="O8" s="9">
        <f>N8/28</f>
        <v>0</v>
      </c>
      <c r="P8" s="4">
        <f>P7+M8</f>
        <v>0</v>
      </c>
    </row>
    <row r="9" spans="1:16" s="4" customFormat="1" x14ac:dyDescent="0.25">
      <c r="A9" s="1">
        <f t="shared" si="0"/>
        <v>2</v>
      </c>
      <c r="B9" s="6">
        <v>44569</v>
      </c>
      <c r="C9" s="39">
        <f t="shared" si="1"/>
        <v>0</v>
      </c>
      <c r="D9" s="30">
        <v>0</v>
      </c>
      <c r="E9" s="30">
        <v>0</v>
      </c>
      <c r="F9" s="30">
        <v>0</v>
      </c>
      <c r="G9" s="30">
        <v>0</v>
      </c>
      <c r="H9" s="30">
        <v>0</v>
      </c>
      <c r="I9" s="30"/>
      <c r="J9" s="30">
        <v>0</v>
      </c>
      <c r="K9" s="30"/>
      <c r="L9" s="5" t="s">
        <v>3</v>
      </c>
      <c r="M9" s="10">
        <f>SUM($C$61:$C$91)</f>
        <v>2.6633333333333336</v>
      </c>
      <c r="N9" s="4">
        <f>COUNTIF($D$61:$D$91,"&gt;0")</f>
        <v>0</v>
      </c>
      <c r="O9" s="9">
        <f>N9/31</f>
        <v>0</v>
      </c>
      <c r="P9" s="10">
        <f>P8+M9</f>
        <v>2.6633333333333336</v>
      </c>
    </row>
    <row r="10" spans="1:16" s="4" customFormat="1" x14ac:dyDescent="0.25">
      <c r="A10" s="1">
        <f t="shared" si="0"/>
        <v>2</v>
      </c>
      <c r="B10" s="6">
        <v>44570</v>
      </c>
      <c r="C10" s="39">
        <f t="shared" si="1"/>
        <v>0</v>
      </c>
      <c r="D10" s="30">
        <v>0</v>
      </c>
      <c r="E10" s="30">
        <v>0</v>
      </c>
      <c r="F10" s="30">
        <v>0</v>
      </c>
      <c r="G10" s="30">
        <v>0</v>
      </c>
      <c r="H10" s="30">
        <v>0</v>
      </c>
      <c r="I10" s="30"/>
      <c r="J10" s="30">
        <v>0</v>
      </c>
      <c r="K10" s="30"/>
      <c r="L10" s="5" t="s">
        <v>4</v>
      </c>
      <c r="M10" s="10">
        <f>SUM($C$92:$C$121)</f>
        <v>68.924166666666665</v>
      </c>
      <c r="N10" s="4">
        <f>COUNTIF($D$92:$D$121,"&gt;0")</f>
        <v>2</v>
      </c>
      <c r="O10" s="9">
        <f>N10/30</f>
        <v>6.6666666666666666E-2</v>
      </c>
      <c r="P10" s="10">
        <f>P9+M10</f>
        <v>71.587499999999991</v>
      </c>
    </row>
    <row r="11" spans="1:16" s="4" customFormat="1" x14ac:dyDescent="0.25">
      <c r="A11" s="1">
        <f t="shared" si="0"/>
        <v>3</v>
      </c>
      <c r="B11" s="6">
        <v>44571</v>
      </c>
      <c r="C11" s="39">
        <f t="shared" si="1"/>
        <v>0</v>
      </c>
      <c r="D11" s="30">
        <v>0</v>
      </c>
      <c r="E11" s="30">
        <v>0</v>
      </c>
      <c r="F11" s="30">
        <v>0</v>
      </c>
      <c r="G11" s="30">
        <v>0</v>
      </c>
      <c r="H11" s="30">
        <v>0</v>
      </c>
      <c r="I11" s="30"/>
      <c r="J11" s="30">
        <v>0</v>
      </c>
      <c r="K11" s="30"/>
      <c r="L11" s="5" t="s">
        <v>5</v>
      </c>
      <c r="M11" s="10">
        <f>SUM($C$122:$C$152)</f>
        <v>95.73833333333333</v>
      </c>
      <c r="N11" s="4">
        <f>COUNTIF($D$122:$D$152,"&gt;0")</f>
        <v>6</v>
      </c>
      <c r="O11" s="9">
        <f>N11/31</f>
        <v>0.19354838709677419</v>
      </c>
      <c r="P11" s="10">
        <f>P10+M11</f>
        <v>167.32583333333332</v>
      </c>
    </row>
    <row r="12" spans="1:16" s="4" customFormat="1" x14ac:dyDescent="0.25">
      <c r="A12" s="1">
        <f t="shared" si="0"/>
        <v>3</v>
      </c>
      <c r="B12" s="6">
        <v>44572</v>
      </c>
      <c r="C12" s="39">
        <f t="shared" si="1"/>
        <v>0</v>
      </c>
      <c r="D12" s="30">
        <v>0</v>
      </c>
      <c r="E12" s="30">
        <v>0</v>
      </c>
      <c r="F12" s="30">
        <v>0</v>
      </c>
      <c r="G12" s="30">
        <v>0</v>
      </c>
      <c r="H12" s="30">
        <v>0</v>
      </c>
      <c r="I12" s="30"/>
      <c r="J12" s="30">
        <v>0</v>
      </c>
      <c r="K12" s="30"/>
      <c r="L12" s="5" t="s">
        <v>6</v>
      </c>
      <c r="M12" s="10">
        <f>SUM($C$153:$C$182)</f>
        <v>273.30166666666662</v>
      </c>
      <c r="N12" s="4">
        <f>COUNTIF($D$153:$D$182,"&gt;0")</f>
        <v>15</v>
      </c>
      <c r="O12" s="9">
        <f>N12/30</f>
        <v>0.5</v>
      </c>
      <c r="P12" s="10">
        <f t="shared" ref="P12:P17" si="2">P11+M12</f>
        <v>440.62749999999994</v>
      </c>
    </row>
    <row r="13" spans="1:16" s="4" customFormat="1" x14ac:dyDescent="0.25">
      <c r="A13" s="1">
        <f t="shared" si="0"/>
        <v>3</v>
      </c>
      <c r="B13" s="6">
        <v>44573</v>
      </c>
      <c r="C13" s="39">
        <f t="shared" si="1"/>
        <v>0</v>
      </c>
      <c r="D13" s="30">
        <v>0</v>
      </c>
      <c r="E13" s="30">
        <v>0</v>
      </c>
      <c r="F13" s="30">
        <v>0</v>
      </c>
      <c r="G13" s="30">
        <v>0</v>
      </c>
      <c r="H13" s="30">
        <v>0</v>
      </c>
      <c r="I13" s="30"/>
      <c r="J13" s="30">
        <v>0</v>
      </c>
      <c r="K13" s="30"/>
      <c r="L13" s="5" t="s">
        <v>7</v>
      </c>
      <c r="M13" s="10">
        <f>SUM($C$183:$C$213)</f>
        <v>172.44666666666666</v>
      </c>
      <c r="N13" s="4">
        <f>COUNTIF($D$183:$D$213,"&gt;0")</f>
        <v>19</v>
      </c>
      <c r="O13" s="9">
        <f>N13/31</f>
        <v>0.61290322580645162</v>
      </c>
      <c r="P13" s="10">
        <f t="shared" si="2"/>
        <v>613.07416666666654</v>
      </c>
    </row>
    <row r="14" spans="1:16" s="4" customFormat="1" x14ac:dyDescent="0.25">
      <c r="A14" s="1">
        <f t="shared" si="0"/>
        <v>3</v>
      </c>
      <c r="B14" s="6">
        <v>44574</v>
      </c>
      <c r="C14" s="39">
        <f t="shared" si="1"/>
        <v>0</v>
      </c>
      <c r="D14" s="30">
        <v>0</v>
      </c>
      <c r="E14" s="30">
        <v>0</v>
      </c>
      <c r="F14" s="30">
        <v>0</v>
      </c>
      <c r="G14" s="30">
        <v>0</v>
      </c>
      <c r="H14" s="30">
        <v>0</v>
      </c>
      <c r="I14" s="30"/>
      <c r="J14" s="30">
        <v>0</v>
      </c>
      <c r="K14" s="30"/>
      <c r="L14" s="5" t="s">
        <v>8</v>
      </c>
      <c r="M14" s="10">
        <f>SUM($C$214:$C$244)</f>
        <v>408.47904761904766</v>
      </c>
      <c r="N14" s="4">
        <f>COUNTIF($D$214:$D$244,"&gt;0")</f>
        <v>18</v>
      </c>
      <c r="O14" s="9">
        <f>N14/31</f>
        <v>0.58064516129032262</v>
      </c>
      <c r="P14" s="10">
        <f t="shared" si="2"/>
        <v>1021.5532142857141</v>
      </c>
    </row>
    <row r="15" spans="1:16" s="4" customFormat="1" x14ac:dyDescent="0.25">
      <c r="A15" s="1">
        <f t="shared" si="0"/>
        <v>3</v>
      </c>
      <c r="B15" s="6">
        <v>44575</v>
      </c>
      <c r="C15" s="39">
        <f t="shared" si="1"/>
        <v>0</v>
      </c>
      <c r="D15" s="30">
        <v>0</v>
      </c>
      <c r="E15" s="30">
        <v>0</v>
      </c>
      <c r="F15" s="30">
        <v>0</v>
      </c>
      <c r="G15" s="30">
        <v>0</v>
      </c>
      <c r="H15" s="30">
        <v>0</v>
      </c>
      <c r="I15" s="30"/>
      <c r="J15" s="30">
        <v>0</v>
      </c>
      <c r="K15" s="30"/>
      <c r="L15" s="5" t="s">
        <v>9</v>
      </c>
      <c r="M15" s="10">
        <f>SUM($C$245:$C$274)</f>
        <v>196.06428571428569</v>
      </c>
      <c r="N15" s="4">
        <f>COUNTIF($D$245:$D$274,"&gt;0")</f>
        <v>19</v>
      </c>
      <c r="O15" s="9">
        <f>N15/30</f>
        <v>0.6333333333333333</v>
      </c>
      <c r="P15" s="10">
        <f t="shared" si="2"/>
        <v>1217.6174999999998</v>
      </c>
    </row>
    <row r="16" spans="1:16" s="4" customFormat="1" x14ac:dyDescent="0.25">
      <c r="A16" s="1">
        <f t="shared" si="0"/>
        <v>3</v>
      </c>
      <c r="B16" s="6">
        <v>44576</v>
      </c>
      <c r="C16" s="39">
        <f t="shared" si="1"/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/>
      <c r="J16" s="1">
        <v>0</v>
      </c>
      <c r="K16" s="1"/>
      <c r="L16" s="5" t="s">
        <v>10</v>
      </c>
      <c r="M16" s="10">
        <f>SUM($C$275:$C$305)</f>
        <v>31.871428571428574</v>
      </c>
      <c r="N16" s="4">
        <f>COUNTIF($D$275:$D$304,"&gt;0")</f>
        <v>5</v>
      </c>
      <c r="O16" s="9">
        <f>N16/31</f>
        <v>0.16129032258064516</v>
      </c>
      <c r="P16" s="10">
        <f t="shared" si="2"/>
        <v>1249.4889285714285</v>
      </c>
    </row>
    <row r="17" spans="1:16" s="4" customFormat="1" x14ac:dyDescent="0.25">
      <c r="A17" s="1">
        <f t="shared" si="0"/>
        <v>3</v>
      </c>
      <c r="B17" s="6">
        <v>44577</v>
      </c>
      <c r="C17" s="39">
        <f t="shared" si="1"/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/>
      <c r="J17" s="1">
        <v>0</v>
      </c>
      <c r="K17" s="1"/>
      <c r="L17" s="5" t="s">
        <v>11</v>
      </c>
      <c r="M17" s="10">
        <f>SUM($C$306:$C$335)</f>
        <v>7.0842857142857136</v>
      </c>
      <c r="N17" s="4">
        <f>COUNTIF($D$305:$D$354,"&gt;0")</f>
        <v>1</v>
      </c>
      <c r="O17" s="9">
        <f>N17/30</f>
        <v>3.3333333333333333E-2</v>
      </c>
      <c r="P17" s="10">
        <f t="shared" si="2"/>
        <v>1256.5732142857141</v>
      </c>
    </row>
    <row r="18" spans="1:16" s="4" customFormat="1" x14ac:dyDescent="0.25">
      <c r="A18" s="1">
        <f t="shared" si="0"/>
        <v>4</v>
      </c>
      <c r="B18" s="6">
        <v>44578</v>
      </c>
      <c r="C18" s="39">
        <f t="shared" si="1"/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/>
      <c r="J18" s="1">
        <v>0</v>
      </c>
      <c r="K18" s="1"/>
      <c r="L18" s="5" t="s">
        <v>12</v>
      </c>
      <c r="M18" s="10">
        <f>SUM($C$336:$C$366)</f>
        <v>0</v>
      </c>
      <c r="N18" s="4">
        <f>COUNTIF($D$336:$D$365,"&gt;0")</f>
        <v>0</v>
      </c>
      <c r="O18" s="11">
        <f>N18/31</f>
        <v>0</v>
      </c>
      <c r="P18" s="10">
        <f>P17+M18</f>
        <v>1256.5732142857141</v>
      </c>
    </row>
    <row r="19" spans="1:16" s="4" customFormat="1" x14ac:dyDescent="0.25">
      <c r="A19" s="1">
        <f t="shared" si="0"/>
        <v>4</v>
      </c>
      <c r="B19" s="6">
        <v>44579</v>
      </c>
      <c r="C19" s="39">
        <f t="shared" si="1"/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/>
      <c r="J19" s="1">
        <v>0</v>
      </c>
      <c r="K19" s="1"/>
    </row>
    <row r="20" spans="1:16" s="4" customFormat="1" x14ac:dyDescent="0.25">
      <c r="A20" s="1">
        <f t="shared" si="0"/>
        <v>4</v>
      </c>
      <c r="B20" s="6">
        <v>44580</v>
      </c>
      <c r="C20" s="39">
        <f t="shared" si="1"/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/>
      <c r="J20" s="1">
        <v>0</v>
      </c>
      <c r="K20" s="1"/>
    </row>
    <row r="21" spans="1:16" s="4" customFormat="1" x14ac:dyDescent="0.25">
      <c r="A21" s="1">
        <f t="shared" si="0"/>
        <v>4</v>
      </c>
      <c r="B21" s="6">
        <v>44581</v>
      </c>
      <c r="C21" s="39">
        <f t="shared" si="1"/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/>
      <c r="J21" s="1">
        <v>0</v>
      </c>
      <c r="K21" s="1"/>
    </row>
    <row r="22" spans="1:16" s="4" customFormat="1" x14ac:dyDescent="0.25">
      <c r="A22" s="1">
        <f t="shared" si="0"/>
        <v>4</v>
      </c>
      <c r="B22" s="6">
        <v>44582</v>
      </c>
      <c r="C22" s="39">
        <f t="shared" si="1"/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/>
      <c r="J22" s="1">
        <v>0</v>
      </c>
      <c r="K22" s="1"/>
    </row>
    <row r="23" spans="1:16" s="4" customFormat="1" x14ac:dyDescent="0.25">
      <c r="A23" s="1">
        <f t="shared" si="0"/>
        <v>4</v>
      </c>
      <c r="B23" s="6">
        <v>44583</v>
      </c>
      <c r="C23" s="39">
        <f t="shared" si="1"/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/>
      <c r="J23" s="1">
        <v>0</v>
      </c>
      <c r="K23" s="1"/>
    </row>
    <row r="24" spans="1:16" s="4" customFormat="1" x14ac:dyDescent="0.25">
      <c r="A24" s="1">
        <f t="shared" si="0"/>
        <v>4</v>
      </c>
      <c r="B24" s="6">
        <v>44584</v>
      </c>
      <c r="C24" s="39">
        <f t="shared" si="1"/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/>
      <c r="J24" s="1">
        <v>0</v>
      </c>
      <c r="K24" s="1"/>
    </row>
    <row r="25" spans="1:16" s="4" customFormat="1" x14ac:dyDescent="0.25">
      <c r="A25" s="1">
        <f t="shared" si="0"/>
        <v>5</v>
      </c>
      <c r="B25" s="6">
        <v>44585</v>
      </c>
      <c r="C25" s="39">
        <f t="shared" si="1"/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/>
      <c r="J25" s="1">
        <v>0</v>
      </c>
      <c r="K25" s="1"/>
    </row>
    <row r="26" spans="1:16" s="4" customFormat="1" x14ac:dyDescent="0.25">
      <c r="A26" s="1">
        <f t="shared" si="0"/>
        <v>5</v>
      </c>
      <c r="B26" s="6">
        <v>44586</v>
      </c>
      <c r="C26" s="39">
        <f t="shared" si="1"/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/>
      <c r="J26" s="1">
        <v>0</v>
      </c>
      <c r="K26" s="1"/>
    </row>
    <row r="27" spans="1:16" s="4" customFormat="1" x14ac:dyDescent="0.25">
      <c r="A27" s="1">
        <f t="shared" si="0"/>
        <v>5</v>
      </c>
      <c r="B27" s="6">
        <v>44587</v>
      </c>
      <c r="C27" s="39">
        <f t="shared" si="1"/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/>
      <c r="J27" s="1">
        <v>0</v>
      </c>
      <c r="K27" s="1"/>
    </row>
    <row r="28" spans="1:16" s="4" customFormat="1" x14ac:dyDescent="0.25">
      <c r="A28" s="1">
        <f t="shared" si="0"/>
        <v>5</v>
      </c>
      <c r="B28" s="6">
        <v>44588</v>
      </c>
      <c r="C28" s="39">
        <f t="shared" si="1"/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/>
      <c r="J28" s="1">
        <v>0</v>
      </c>
      <c r="K28" s="1"/>
    </row>
    <row r="29" spans="1:16" s="4" customFormat="1" x14ac:dyDescent="0.25">
      <c r="A29" s="1">
        <f t="shared" si="0"/>
        <v>5</v>
      </c>
      <c r="B29" s="6">
        <v>44589</v>
      </c>
      <c r="C29" s="39">
        <f t="shared" si="1"/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/>
      <c r="J29" s="1">
        <v>0</v>
      </c>
      <c r="K29" s="1"/>
    </row>
    <row r="30" spans="1:16" s="4" customFormat="1" x14ac:dyDescent="0.25">
      <c r="A30" s="1">
        <f t="shared" si="0"/>
        <v>5</v>
      </c>
      <c r="B30" s="6">
        <v>44590</v>
      </c>
      <c r="C30" s="39">
        <f t="shared" si="1"/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/>
      <c r="J30" s="1">
        <v>0</v>
      </c>
      <c r="K30" s="1"/>
    </row>
    <row r="31" spans="1:16" s="4" customFormat="1" x14ac:dyDescent="0.25">
      <c r="A31" s="1">
        <f t="shared" si="0"/>
        <v>5</v>
      </c>
      <c r="B31" s="6">
        <v>44591</v>
      </c>
      <c r="C31" s="39">
        <f t="shared" si="1"/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/>
      <c r="J31" s="1">
        <v>0</v>
      </c>
      <c r="K31" s="1"/>
    </row>
    <row r="32" spans="1:16" s="4" customFormat="1" ht="15.75" thickBot="1" x14ac:dyDescent="0.3">
      <c r="A32" s="1">
        <f t="shared" si="0"/>
        <v>6</v>
      </c>
      <c r="B32" s="6">
        <v>44592</v>
      </c>
      <c r="C32" s="39">
        <f t="shared" si="1"/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/>
      <c r="J32" s="1">
        <v>0</v>
      </c>
      <c r="K32" s="1"/>
      <c r="L32" s="14">
        <f>SUM(C4:C32)</f>
        <v>0</v>
      </c>
    </row>
    <row r="33" spans="1:11" s="4" customFormat="1" ht="15.75" thickTop="1" x14ac:dyDescent="0.25">
      <c r="A33" s="1">
        <f t="shared" si="0"/>
        <v>6</v>
      </c>
      <c r="B33" s="6">
        <v>44593</v>
      </c>
      <c r="C33" s="39">
        <f t="shared" si="1"/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/>
      <c r="J33" s="1">
        <v>0</v>
      </c>
      <c r="K33" s="1"/>
    </row>
    <row r="34" spans="1:11" s="4" customFormat="1" x14ac:dyDescent="0.25">
      <c r="A34" s="1">
        <f t="shared" si="0"/>
        <v>6</v>
      </c>
      <c r="B34" s="6">
        <v>44594</v>
      </c>
      <c r="C34" s="39">
        <f t="shared" si="1"/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/>
      <c r="J34" s="1">
        <v>0</v>
      </c>
      <c r="K34" s="1"/>
    </row>
    <row r="35" spans="1:11" s="4" customFormat="1" x14ac:dyDescent="0.25">
      <c r="A35" s="1">
        <f t="shared" si="0"/>
        <v>6</v>
      </c>
      <c r="B35" s="6">
        <v>44595</v>
      </c>
      <c r="C35" s="39">
        <f t="shared" si="1"/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/>
      <c r="J35" s="1">
        <v>0</v>
      </c>
      <c r="K35" s="1"/>
    </row>
    <row r="36" spans="1:11" s="4" customFormat="1" x14ac:dyDescent="0.25">
      <c r="A36" s="1">
        <f t="shared" si="0"/>
        <v>6</v>
      </c>
      <c r="B36" s="6">
        <v>44596</v>
      </c>
      <c r="C36" s="39">
        <f t="shared" si="1"/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/>
      <c r="J36" s="1">
        <v>0</v>
      </c>
      <c r="K36" s="1"/>
    </row>
    <row r="37" spans="1:11" s="4" customFormat="1" x14ac:dyDescent="0.25">
      <c r="A37" s="1">
        <f t="shared" si="0"/>
        <v>6</v>
      </c>
      <c r="B37" s="6">
        <v>44597</v>
      </c>
      <c r="C37" s="39">
        <f t="shared" si="1"/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/>
      <c r="J37" s="1">
        <v>0</v>
      </c>
      <c r="K37" s="1"/>
    </row>
    <row r="38" spans="1:11" s="4" customFormat="1" x14ac:dyDescent="0.25">
      <c r="A38" s="1">
        <f t="shared" si="0"/>
        <v>6</v>
      </c>
      <c r="B38" s="6">
        <v>44598</v>
      </c>
      <c r="C38" s="39">
        <f t="shared" si="1"/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/>
      <c r="J38" s="1">
        <v>0</v>
      </c>
      <c r="K38" s="1"/>
    </row>
    <row r="39" spans="1:11" s="4" customFormat="1" x14ac:dyDescent="0.25">
      <c r="A39" s="1">
        <f t="shared" si="0"/>
        <v>7</v>
      </c>
      <c r="B39" s="6">
        <v>44599</v>
      </c>
      <c r="C39" s="39">
        <f t="shared" si="1"/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/>
      <c r="J39" s="1">
        <v>0</v>
      </c>
      <c r="K39" s="1"/>
    </row>
    <row r="40" spans="1:11" s="4" customFormat="1" x14ac:dyDescent="0.25">
      <c r="A40" s="1">
        <f t="shared" si="0"/>
        <v>7</v>
      </c>
      <c r="B40" s="6">
        <v>44600</v>
      </c>
      <c r="C40" s="39">
        <f t="shared" si="1"/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/>
      <c r="J40" s="1">
        <v>0</v>
      </c>
      <c r="K40" s="1"/>
    </row>
    <row r="41" spans="1:11" s="4" customFormat="1" x14ac:dyDescent="0.25">
      <c r="A41" s="1">
        <f t="shared" si="0"/>
        <v>7</v>
      </c>
      <c r="B41" s="6">
        <v>44601</v>
      </c>
      <c r="C41" s="39">
        <f t="shared" si="1"/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/>
      <c r="J41" s="1">
        <v>0</v>
      </c>
      <c r="K41" s="1"/>
    </row>
    <row r="42" spans="1:11" s="4" customFormat="1" x14ac:dyDescent="0.25">
      <c r="A42" s="1">
        <f t="shared" si="0"/>
        <v>7</v>
      </c>
      <c r="B42" s="6">
        <v>44602</v>
      </c>
      <c r="C42" s="39">
        <f t="shared" si="1"/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/>
      <c r="J42" s="1">
        <v>0</v>
      </c>
      <c r="K42" s="1"/>
    </row>
    <row r="43" spans="1:11" s="4" customFormat="1" x14ac:dyDescent="0.25">
      <c r="A43" s="1">
        <f t="shared" si="0"/>
        <v>7</v>
      </c>
      <c r="B43" s="6">
        <v>44603</v>
      </c>
      <c r="C43" s="39">
        <f t="shared" si="1"/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/>
      <c r="J43" s="1">
        <v>0</v>
      </c>
      <c r="K43" s="1"/>
    </row>
    <row r="44" spans="1:11" s="4" customFormat="1" x14ac:dyDescent="0.25">
      <c r="A44" s="1">
        <f t="shared" si="0"/>
        <v>7</v>
      </c>
      <c r="B44" s="6">
        <v>44604</v>
      </c>
      <c r="C44" s="39">
        <f t="shared" si="1"/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/>
      <c r="J44" s="1">
        <v>0</v>
      </c>
      <c r="K44" s="1"/>
    </row>
    <row r="45" spans="1:11" s="4" customFormat="1" x14ac:dyDescent="0.25">
      <c r="A45" s="1">
        <f t="shared" si="0"/>
        <v>7</v>
      </c>
      <c r="B45" s="6">
        <v>44605</v>
      </c>
      <c r="C45" s="39">
        <f t="shared" si="1"/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/>
      <c r="J45" s="1">
        <v>0</v>
      </c>
      <c r="K45" s="1"/>
    </row>
    <row r="46" spans="1:11" s="4" customFormat="1" x14ac:dyDescent="0.25">
      <c r="A46" s="1">
        <f t="shared" si="0"/>
        <v>8</v>
      </c>
      <c r="B46" s="6">
        <v>44606</v>
      </c>
      <c r="C46" s="39">
        <f t="shared" si="1"/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/>
      <c r="J46" s="1">
        <v>0</v>
      </c>
      <c r="K46" s="1"/>
    </row>
    <row r="47" spans="1:11" s="4" customFormat="1" x14ac:dyDescent="0.25">
      <c r="A47" s="1">
        <f t="shared" si="0"/>
        <v>8</v>
      </c>
      <c r="B47" s="6">
        <v>44607</v>
      </c>
      <c r="C47" s="39">
        <f t="shared" si="1"/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/>
      <c r="J47" s="1">
        <v>0</v>
      </c>
      <c r="K47" s="1"/>
    </row>
    <row r="48" spans="1:11" s="4" customFormat="1" x14ac:dyDescent="0.25">
      <c r="A48" s="1">
        <f t="shared" si="0"/>
        <v>8</v>
      </c>
      <c r="B48" s="6">
        <v>44608</v>
      </c>
      <c r="C48" s="39">
        <f t="shared" si="1"/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/>
      <c r="J48" s="1">
        <v>0</v>
      </c>
      <c r="K48" s="1"/>
    </row>
    <row r="49" spans="1:12" s="4" customFormat="1" x14ac:dyDescent="0.25">
      <c r="A49" s="1">
        <f t="shared" si="0"/>
        <v>8</v>
      </c>
      <c r="B49" s="6">
        <v>44609</v>
      </c>
      <c r="C49" s="39">
        <f t="shared" si="1"/>
        <v>0</v>
      </c>
      <c r="D49" s="1">
        <v>0</v>
      </c>
      <c r="E49" s="1">
        <v>0</v>
      </c>
      <c r="F49" s="1"/>
      <c r="G49" s="1"/>
      <c r="H49" s="1"/>
      <c r="I49" s="1"/>
      <c r="J49" s="1">
        <v>0</v>
      </c>
      <c r="K49" s="1"/>
    </row>
    <row r="50" spans="1:12" s="4" customFormat="1" x14ac:dyDescent="0.25">
      <c r="A50" s="1">
        <f t="shared" si="0"/>
        <v>8</v>
      </c>
      <c r="B50" s="6">
        <v>44610</v>
      </c>
      <c r="C50" s="39">
        <f t="shared" si="1"/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/>
      <c r="J50" s="1">
        <v>0</v>
      </c>
      <c r="K50" s="1"/>
    </row>
    <row r="51" spans="1:12" s="4" customFormat="1" x14ac:dyDescent="0.25">
      <c r="A51" s="1">
        <f t="shared" si="0"/>
        <v>8</v>
      </c>
      <c r="B51" s="6">
        <v>44611</v>
      </c>
      <c r="C51" s="39">
        <f t="shared" si="1"/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/>
      <c r="J51" s="1">
        <v>0</v>
      </c>
      <c r="K51" s="1"/>
    </row>
    <row r="52" spans="1:12" s="4" customFormat="1" x14ac:dyDescent="0.25">
      <c r="A52" s="1">
        <f t="shared" si="0"/>
        <v>8</v>
      </c>
      <c r="B52" s="6">
        <v>44612</v>
      </c>
      <c r="C52" s="39">
        <f t="shared" si="1"/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/>
      <c r="J52" s="1">
        <v>0</v>
      </c>
      <c r="K52" s="1"/>
    </row>
    <row r="53" spans="1:12" s="4" customFormat="1" x14ac:dyDescent="0.25">
      <c r="A53" s="1">
        <f t="shared" si="0"/>
        <v>9</v>
      </c>
      <c r="B53" s="6">
        <v>44613</v>
      </c>
      <c r="C53" s="39">
        <f t="shared" si="1"/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/>
      <c r="J53" s="1">
        <v>0</v>
      </c>
      <c r="K53" s="1"/>
    </row>
    <row r="54" spans="1:12" s="4" customFormat="1" x14ac:dyDescent="0.25">
      <c r="A54" s="1">
        <f t="shared" si="0"/>
        <v>9</v>
      </c>
      <c r="B54" s="6">
        <v>44614</v>
      </c>
      <c r="C54" s="39">
        <f t="shared" si="1"/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/>
      <c r="J54" s="1">
        <v>0</v>
      </c>
      <c r="K54" s="1"/>
    </row>
    <row r="55" spans="1:12" s="4" customFormat="1" x14ac:dyDescent="0.25">
      <c r="A55" s="1">
        <f t="shared" si="0"/>
        <v>9</v>
      </c>
      <c r="B55" s="6">
        <v>44615</v>
      </c>
      <c r="C55" s="39">
        <f t="shared" si="1"/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/>
      <c r="J55" s="1">
        <v>0</v>
      </c>
      <c r="K55" s="1"/>
    </row>
    <row r="56" spans="1:12" s="4" customFormat="1" x14ac:dyDescent="0.25">
      <c r="A56" s="1">
        <f t="shared" si="0"/>
        <v>9</v>
      </c>
      <c r="B56" s="6">
        <v>44616</v>
      </c>
      <c r="C56" s="39">
        <f t="shared" si="1"/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/>
      <c r="J56" s="1">
        <v>0</v>
      </c>
      <c r="K56" s="1"/>
    </row>
    <row r="57" spans="1:12" s="4" customFormat="1" x14ac:dyDescent="0.25">
      <c r="A57" s="1">
        <f t="shared" si="0"/>
        <v>9</v>
      </c>
      <c r="B57" s="6">
        <v>44617</v>
      </c>
      <c r="C57" s="39">
        <f t="shared" si="1"/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/>
      <c r="J57" s="1">
        <v>0</v>
      </c>
      <c r="K57" s="1"/>
    </row>
    <row r="58" spans="1:12" s="4" customFormat="1" x14ac:dyDescent="0.25">
      <c r="A58" s="1"/>
      <c r="B58" s="6">
        <v>44618</v>
      </c>
      <c r="C58" s="39">
        <f t="shared" si="1"/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/>
      <c r="J58" s="1">
        <v>0</v>
      </c>
      <c r="K58" s="1"/>
    </row>
    <row r="59" spans="1:12" s="4" customFormat="1" x14ac:dyDescent="0.25">
      <c r="A59" s="1">
        <f t="shared" si="0"/>
        <v>9</v>
      </c>
      <c r="B59" s="6">
        <v>44619</v>
      </c>
      <c r="C59" s="39">
        <f t="shared" si="1"/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/>
      <c r="J59" s="1">
        <v>0</v>
      </c>
      <c r="K59" s="1"/>
    </row>
    <row r="60" spans="1:12" s="14" customFormat="1" ht="15.75" thickBot="1" x14ac:dyDescent="0.3">
      <c r="A60" s="13">
        <f t="shared" si="0"/>
        <v>10</v>
      </c>
      <c r="B60" s="6">
        <v>44620</v>
      </c>
      <c r="C60" s="39">
        <f t="shared" si="1"/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/>
      <c r="J60" s="1">
        <v>0</v>
      </c>
      <c r="K60" s="1"/>
      <c r="L60" s="14">
        <f>SUM(C33:C60)</f>
        <v>0</v>
      </c>
    </row>
    <row r="61" spans="1:12" s="4" customFormat="1" ht="15.75" thickTop="1" x14ac:dyDescent="0.25">
      <c r="A61" s="1">
        <f t="shared" si="0"/>
        <v>10</v>
      </c>
      <c r="B61" s="6">
        <v>44621</v>
      </c>
      <c r="C61" s="39">
        <f t="shared" si="1"/>
        <v>2.4633333333333334</v>
      </c>
      <c r="D61" s="1"/>
      <c r="E61" s="1"/>
      <c r="F61" s="1"/>
      <c r="G61" s="1">
        <v>2.5</v>
      </c>
      <c r="H61" s="1"/>
      <c r="I61" s="1"/>
      <c r="J61" s="1">
        <v>2.4900000000000002</v>
      </c>
      <c r="K61" s="1">
        <v>2.4</v>
      </c>
    </row>
    <row r="62" spans="1:12" s="4" customFormat="1" x14ac:dyDescent="0.25">
      <c r="A62" s="1">
        <f t="shared" si="0"/>
        <v>10</v>
      </c>
      <c r="B62" s="6">
        <v>44622</v>
      </c>
      <c r="C62" s="39">
        <f t="shared" si="1"/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/>
      <c r="J62" s="1">
        <v>0</v>
      </c>
      <c r="K62" s="1">
        <v>0</v>
      </c>
    </row>
    <row r="63" spans="1:12" s="4" customFormat="1" x14ac:dyDescent="0.25">
      <c r="A63" s="1">
        <f t="shared" si="0"/>
        <v>10</v>
      </c>
      <c r="B63" s="6">
        <v>44623</v>
      </c>
      <c r="C63" s="39">
        <f t="shared" si="1"/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/>
      <c r="J63" s="1">
        <v>0</v>
      </c>
      <c r="K63" s="1">
        <v>0</v>
      </c>
    </row>
    <row r="64" spans="1:12" s="4" customFormat="1" x14ac:dyDescent="0.25">
      <c r="A64" s="1">
        <f t="shared" si="0"/>
        <v>10</v>
      </c>
      <c r="B64" s="6">
        <v>44624</v>
      </c>
      <c r="C64" s="39">
        <f t="shared" si="1"/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/>
      <c r="J64" s="1">
        <v>0</v>
      </c>
      <c r="K64" s="1">
        <v>0</v>
      </c>
    </row>
    <row r="65" spans="1:11" s="4" customFormat="1" x14ac:dyDescent="0.25">
      <c r="A65" s="1">
        <f t="shared" si="0"/>
        <v>10</v>
      </c>
      <c r="B65" s="6">
        <v>44625</v>
      </c>
      <c r="C65" s="39">
        <f t="shared" si="1"/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/>
      <c r="J65" s="1">
        <v>0</v>
      </c>
      <c r="K65" s="1">
        <v>0</v>
      </c>
    </row>
    <row r="66" spans="1:11" s="4" customFormat="1" x14ac:dyDescent="0.25">
      <c r="A66" s="1">
        <f t="shared" si="0"/>
        <v>10</v>
      </c>
      <c r="B66" s="6">
        <v>44626</v>
      </c>
      <c r="C66" s="39">
        <f t="shared" si="1"/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/>
      <c r="J66" s="1">
        <v>0</v>
      </c>
      <c r="K66" s="1">
        <v>0</v>
      </c>
    </row>
    <row r="67" spans="1:11" s="4" customFormat="1" x14ac:dyDescent="0.25">
      <c r="A67" s="1">
        <f t="shared" ref="A67:A130" si="3">WEEKNUM($B67,2)</f>
        <v>11</v>
      </c>
      <c r="B67" s="6">
        <v>44627</v>
      </c>
      <c r="C67" s="39">
        <f t="shared" ref="C67:C130" si="4">AVERAGE(D67:K67)</f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/>
      <c r="J67" s="1">
        <v>0</v>
      </c>
      <c r="K67" s="1">
        <v>0</v>
      </c>
    </row>
    <row r="68" spans="1:11" s="4" customFormat="1" x14ac:dyDescent="0.25">
      <c r="A68" s="1">
        <f t="shared" si="3"/>
        <v>11</v>
      </c>
      <c r="B68" s="6">
        <v>44628</v>
      </c>
      <c r="C68" s="39">
        <f t="shared" si="4"/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/>
      <c r="J68" s="1">
        <v>0</v>
      </c>
      <c r="K68" s="1">
        <v>0</v>
      </c>
    </row>
    <row r="69" spans="1:11" s="4" customFormat="1" x14ac:dyDescent="0.25">
      <c r="A69" s="1">
        <f t="shared" si="3"/>
        <v>11</v>
      </c>
      <c r="B69" s="6">
        <v>44629</v>
      </c>
      <c r="C69" s="39">
        <f t="shared" si="4"/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/>
      <c r="J69" s="1">
        <v>0</v>
      </c>
      <c r="K69" s="1">
        <v>0</v>
      </c>
    </row>
    <row r="70" spans="1:11" s="4" customFormat="1" x14ac:dyDescent="0.25">
      <c r="A70" s="1">
        <f t="shared" si="3"/>
        <v>11</v>
      </c>
      <c r="B70" s="6">
        <v>44630</v>
      </c>
      <c r="C70" s="39">
        <f t="shared" si="4"/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/>
      <c r="J70" s="1">
        <v>0</v>
      </c>
      <c r="K70" s="1">
        <v>0</v>
      </c>
    </row>
    <row r="71" spans="1:11" s="4" customFormat="1" x14ac:dyDescent="0.25">
      <c r="A71" s="1">
        <f t="shared" si="3"/>
        <v>11</v>
      </c>
      <c r="B71" s="6">
        <v>44631</v>
      </c>
      <c r="C71" s="39">
        <f t="shared" si="4"/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/>
      <c r="J71" s="1">
        <v>0</v>
      </c>
      <c r="K71" s="1">
        <v>0</v>
      </c>
    </row>
    <row r="72" spans="1:11" s="4" customFormat="1" x14ac:dyDescent="0.25">
      <c r="A72" s="1">
        <f t="shared" si="3"/>
        <v>11</v>
      </c>
      <c r="B72" s="6">
        <v>44632</v>
      </c>
      <c r="C72" s="39">
        <f t="shared" si="4"/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/>
      <c r="J72" s="1">
        <v>0</v>
      </c>
      <c r="K72" s="1">
        <v>0</v>
      </c>
    </row>
    <row r="73" spans="1:11" s="4" customFormat="1" x14ac:dyDescent="0.25">
      <c r="A73" s="1">
        <f t="shared" si="3"/>
        <v>11</v>
      </c>
      <c r="B73" s="6">
        <v>44633</v>
      </c>
      <c r="C73" s="39">
        <f t="shared" si="4"/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/>
      <c r="J73" s="1">
        <v>0</v>
      </c>
      <c r="K73" s="1">
        <v>0</v>
      </c>
    </row>
    <row r="74" spans="1:11" s="4" customFormat="1" x14ac:dyDescent="0.25">
      <c r="A74" s="1">
        <f t="shared" si="3"/>
        <v>12</v>
      </c>
      <c r="B74" s="6">
        <v>44634</v>
      </c>
      <c r="C74" s="39">
        <f t="shared" si="4"/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/>
      <c r="J74" s="1">
        <v>0</v>
      </c>
      <c r="K74" s="1">
        <v>0</v>
      </c>
    </row>
    <row r="75" spans="1:11" s="4" customFormat="1" x14ac:dyDescent="0.25">
      <c r="A75" s="1">
        <f t="shared" si="3"/>
        <v>12</v>
      </c>
      <c r="B75" s="6">
        <v>44635</v>
      </c>
      <c r="C75" s="39">
        <f t="shared" si="4"/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/>
      <c r="J75" s="1">
        <v>0</v>
      </c>
      <c r="K75" s="1">
        <v>0</v>
      </c>
    </row>
    <row r="76" spans="1:11" s="4" customFormat="1" x14ac:dyDescent="0.25">
      <c r="A76" s="1">
        <f t="shared" si="3"/>
        <v>12</v>
      </c>
      <c r="B76" s="6">
        <v>44636</v>
      </c>
      <c r="C76" s="39">
        <f t="shared" si="4"/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/>
      <c r="J76" s="1">
        <v>0</v>
      </c>
      <c r="K76" s="1">
        <v>0</v>
      </c>
    </row>
    <row r="77" spans="1:11" s="4" customFormat="1" x14ac:dyDescent="0.25">
      <c r="A77" s="1">
        <f t="shared" si="3"/>
        <v>12</v>
      </c>
      <c r="B77" s="6">
        <v>44637</v>
      </c>
      <c r="C77" s="39">
        <f t="shared" si="4"/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/>
      <c r="J77" s="1">
        <v>0</v>
      </c>
      <c r="K77" s="1">
        <v>0</v>
      </c>
    </row>
    <row r="78" spans="1:11" s="4" customFormat="1" x14ac:dyDescent="0.25">
      <c r="A78" s="1">
        <f t="shared" si="3"/>
        <v>12</v>
      </c>
      <c r="B78" s="6">
        <v>44638</v>
      </c>
      <c r="C78" s="39">
        <f t="shared" si="4"/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/>
      <c r="J78" s="1">
        <v>0</v>
      </c>
      <c r="K78" s="1">
        <v>0</v>
      </c>
    </row>
    <row r="79" spans="1:11" s="4" customFormat="1" x14ac:dyDescent="0.25">
      <c r="A79" s="1">
        <f t="shared" si="3"/>
        <v>12</v>
      </c>
      <c r="B79" s="6">
        <v>44639</v>
      </c>
      <c r="C79" s="39">
        <f t="shared" si="4"/>
        <v>0.2</v>
      </c>
      <c r="D79" s="1"/>
      <c r="E79" s="1"/>
      <c r="F79" s="1"/>
      <c r="G79" s="1"/>
      <c r="H79" s="1"/>
      <c r="I79" s="1"/>
      <c r="J79" s="1"/>
      <c r="K79" s="1">
        <v>0.2</v>
      </c>
    </row>
    <row r="80" spans="1:11" s="4" customFormat="1" x14ac:dyDescent="0.25">
      <c r="A80" s="1">
        <f t="shared" si="3"/>
        <v>12</v>
      </c>
      <c r="B80" s="6">
        <v>44640</v>
      </c>
      <c r="C80" s="39">
        <f t="shared" si="4"/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/>
      <c r="J80" s="1">
        <v>0</v>
      </c>
      <c r="K80" s="1">
        <v>0</v>
      </c>
    </row>
    <row r="81" spans="1:12" s="4" customFormat="1" x14ac:dyDescent="0.25">
      <c r="A81" s="1">
        <f t="shared" si="3"/>
        <v>13</v>
      </c>
      <c r="B81" s="6">
        <v>44641</v>
      </c>
      <c r="C81" s="39">
        <f t="shared" si="4"/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/>
      <c r="J81" s="1">
        <v>0</v>
      </c>
      <c r="K81" s="1">
        <v>0</v>
      </c>
    </row>
    <row r="82" spans="1:12" s="4" customFormat="1" x14ac:dyDescent="0.25">
      <c r="A82" s="1">
        <f t="shared" si="3"/>
        <v>13</v>
      </c>
      <c r="B82" s="6">
        <v>44642</v>
      </c>
      <c r="C82" s="39">
        <f t="shared" si="4"/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/>
      <c r="J82" s="1">
        <v>0</v>
      </c>
      <c r="K82" s="1">
        <v>0</v>
      </c>
    </row>
    <row r="83" spans="1:12" s="4" customFormat="1" x14ac:dyDescent="0.25">
      <c r="A83" s="1">
        <f t="shared" si="3"/>
        <v>13</v>
      </c>
      <c r="B83" s="6">
        <v>44643</v>
      </c>
      <c r="C83" s="39">
        <f t="shared" si="4"/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/>
      <c r="J83" s="1">
        <v>0</v>
      </c>
      <c r="K83" s="1">
        <v>0</v>
      </c>
    </row>
    <row r="84" spans="1:12" s="4" customFormat="1" x14ac:dyDescent="0.25">
      <c r="A84" s="1">
        <f t="shared" si="3"/>
        <v>13</v>
      </c>
      <c r="B84" s="6">
        <v>44644</v>
      </c>
      <c r="C84" s="39">
        <f t="shared" si="4"/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/>
      <c r="J84" s="1">
        <v>0</v>
      </c>
      <c r="K84" s="1">
        <v>0</v>
      </c>
    </row>
    <row r="85" spans="1:12" s="4" customFormat="1" x14ac:dyDescent="0.25">
      <c r="A85" s="1">
        <f t="shared" si="3"/>
        <v>13</v>
      </c>
      <c r="B85" s="6">
        <v>44645</v>
      </c>
      <c r="C85" s="39">
        <f t="shared" si="4"/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/>
      <c r="J85" s="1">
        <v>0</v>
      </c>
      <c r="K85" s="1">
        <v>0</v>
      </c>
    </row>
    <row r="86" spans="1:12" s="4" customFormat="1" x14ac:dyDescent="0.25">
      <c r="A86" s="1">
        <f t="shared" si="3"/>
        <v>13</v>
      </c>
      <c r="B86" s="6">
        <v>44646</v>
      </c>
      <c r="C86" s="39">
        <f t="shared" si="4"/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/>
      <c r="J86" s="1">
        <v>0</v>
      </c>
      <c r="K86" s="1">
        <v>0</v>
      </c>
    </row>
    <row r="87" spans="1:12" s="4" customFormat="1" x14ac:dyDescent="0.25">
      <c r="A87" s="1">
        <f t="shared" si="3"/>
        <v>13</v>
      </c>
      <c r="B87" s="6">
        <v>44647</v>
      </c>
      <c r="C87" s="39">
        <f t="shared" si="4"/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/>
      <c r="J87" s="1">
        <v>0</v>
      </c>
      <c r="K87" s="1">
        <v>0</v>
      </c>
    </row>
    <row r="88" spans="1:12" s="4" customFormat="1" x14ac:dyDescent="0.25">
      <c r="A88" s="1">
        <f t="shared" si="3"/>
        <v>14</v>
      </c>
      <c r="B88" s="6">
        <v>44648</v>
      </c>
      <c r="C88" s="39">
        <f t="shared" si="4"/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/>
      <c r="J88" s="1">
        <v>0</v>
      </c>
      <c r="K88" s="1">
        <v>0</v>
      </c>
    </row>
    <row r="89" spans="1:12" s="4" customFormat="1" x14ac:dyDescent="0.25">
      <c r="A89" s="1">
        <f t="shared" si="3"/>
        <v>14</v>
      </c>
      <c r="B89" s="6">
        <v>44649</v>
      </c>
      <c r="C89" s="39">
        <f t="shared" si="4"/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/>
      <c r="J89" s="1">
        <v>0</v>
      </c>
      <c r="K89" s="1">
        <v>0</v>
      </c>
    </row>
    <row r="90" spans="1:12" s="4" customFormat="1" x14ac:dyDescent="0.25">
      <c r="A90" s="18"/>
      <c r="B90" s="6">
        <v>44650</v>
      </c>
      <c r="C90" s="39">
        <f t="shared" si="4"/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/>
      <c r="J90" s="1">
        <v>0</v>
      </c>
      <c r="K90" s="1">
        <v>0</v>
      </c>
    </row>
    <row r="91" spans="1:12" s="14" customFormat="1" ht="15.75" thickBot="1" x14ac:dyDescent="0.3">
      <c r="A91" s="13">
        <f t="shared" si="3"/>
        <v>14</v>
      </c>
      <c r="B91" s="6">
        <v>44651</v>
      </c>
      <c r="C91" s="39">
        <f t="shared" si="4"/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/>
      <c r="J91" s="1">
        <v>0</v>
      </c>
      <c r="K91" s="1">
        <v>0</v>
      </c>
      <c r="L91" s="14">
        <f>SUM(C63:C91)</f>
        <v>0.2</v>
      </c>
    </row>
    <row r="92" spans="1:12" s="4" customFormat="1" ht="15.75" thickTop="1" x14ac:dyDescent="0.25">
      <c r="A92" s="1">
        <f t="shared" si="3"/>
        <v>14</v>
      </c>
      <c r="B92" s="6">
        <v>44652</v>
      </c>
      <c r="C92" s="39">
        <f t="shared" si="4"/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/>
      <c r="J92" s="1">
        <v>0</v>
      </c>
      <c r="K92" s="1">
        <v>0</v>
      </c>
    </row>
    <row r="93" spans="1:12" s="4" customFormat="1" x14ac:dyDescent="0.25">
      <c r="A93" s="1">
        <f t="shared" si="3"/>
        <v>14</v>
      </c>
      <c r="B93" s="6">
        <v>44653</v>
      </c>
      <c r="C93" s="39">
        <f t="shared" si="4"/>
        <v>20.733333333333334</v>
      </c>
      <c r="D93" s="1"/>
      <c r="E93" s="1"/>
      <c r="F93" s="1"/>
      <c r="G93" s="1">
        <v>18</v>
      </c>
      <c r="H93" s="1"/>
      <c r="I93" s="1"/>
      <c r="J93" s="1">
        <v>22.4</v>
      </c>
      <c r="K93" s="1">
        <v>21.8</v>
      </c>
    </row>
    <row r="94" spans="1:12" s="4" customFormat="1" x14ac:dyDescent="0.25">
      <c r="A94" s="1">
        <f t="shared" si="3"/>
        <v>14</v>
      </c>
      <c r="B94" s="6">
        <v>44654</v>
      </c>
      <c r="C94" s="39">
        <f t="shared" si="4"/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/>
      <c r="J94" s="1">
        <v>0</v>
      </c>
      <c r="K94" s="1">
        <v>0</v>
      </c>
    </row>
    <row r="95" spans="1:12" s="4" customFormat="1" x14ac:dyDescent="0.25">
      <c r="A95" s="1">
        <f t="shared" si="3"/>
        <v>15</v>
      </c>
      <c r="B95" s="6">
        <v>44655</v>
      </c>
      <c r="C95" s="39">
        <f t="shared" si="4"/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/>
      <c r="J95" s="1">
        <v>0</v>
      </c>
      <c r="K95" s="1">
        <v>0</v>
      </c>
    </row>
    <row r="96" spans="1:12" s="4" customFormat="1" x14ac:dyDescent="0.25">
      <c r="A96" s="1">
        <f t="shared" si="3"/>
        <v>15</v>
      </c>
      <c r="B96" s="6">
        <v>44656</v>
      </c>
      <c r="C96" s="39">
        <f t="shared" si="4"/>
        <v>0.66999999999999993</v>
      </c>
      <c r="D96" s="1"/>
      <c r="E96" s="1"/>
      <c r="F96" s="1"/>
      <c r="G96" s="1">
        <v>0.5</v>
      </c>
      <c r="H96" s="1"/>
      <c r="I96" s="1"/>
      <c r="J96" s="1">
        <v>0.71</v>
      </c>
      <c r="K96" s="1">
        <v>0.8</v>
      </c>
    </row>
    <row r="97" spans="1:11" s="4" customFormat="1" x14ac:dyDescent="0.25">
      <c r="A97" s="1">
        <f t="shared" si="3"/>
        <v>15</v>
      </c>
      <c r="B97" s="6">
        <v>44657</v>
      </c>
      <c r="C97" s="39">
        <f t="shared" si="4"/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/>
      <c r="J97" s="1">
        <v>0</v>
      </c>
      <c r="K97" s="1">
        <v>0</v>
      </c>
    </row>
    <row r="98" spans="1:11" s="4" customFormat="1" x14ac:dyDescent="0.25">
      <c r="A98" s="1">
        <f t="shared" si="3"/>
        <v>15</v>
      </c>
      <c r="B98" s="6">
        <v>44658</v>
      </c>
      <c r="C98" s="39">
        <f t="shared" si="4"/>
        <v>0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/>
      <c r="J98" s="1">
        <v>0</v>
      </c>
      <c r="K98" s="1">
        <v>0</v>
      </c>
    </row>
    <row r="99" spans="1:11" s="4" customFormat="1" x14ac:dyDescent="0.25">
      <c r="A99" s="1">
        <f t="shared" si="3"/>
        <v>15</v>
      </c>
      <c r="B99" s="6">
        <v>44659</v>
      </c>
      <c r="C99" s="39">
        <f t="shared" si="4"/>
        <v>0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/>
      <c r="J99" s="1">
        <v>0</v>
      </c>
      <c r="K99" s="1">
        <v>0</v>
      </c>
    </row>
    <row r="100" spans="1:11" s="4" customFormat="1" x14ac:dyDescent="0.25">
      <c r="A100" s="1">
        <f t="shared" si="3"/>
        <v>15</v>
      </c>
      <c r="B100" s="6">
        <v>44660</v>
      </c>
      <c r="C100" s="39">
        <f t="shared" si="4"/>
        <v>17.796666666666667</v>
      </c>
      <c r="D100" s="1"/>
      <c r="E100" s="1"/>
      <c r="F100" s="1"/>
      <c r="G100" s="1">
        <v>13</v>
      </c>
      <c r="H100" s="1"/>
      <c r="I100" s="1"/>
      <c r="J100" s="1">
        <v>18.59</v>
      </c>
      <c r="K100" s="1">
        <v>21.8</v>
      </c>
    </row>
    <row r="101" spans="1:11" s="4" customFormat="1" x14ac:dyDescent="0.25">
      <c r="A101" s="1">
        <f t="shared" si="3"/>
        <v>15</v>
      </c>
      <c r="B101" s="6">
        <v>44661</v>
      </c>
      <c r="C101" s="39">
        <f t="shared" si="4"/>
        <v>0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/>
      <c r="J101" s="1">
        <v>0</v>
      </c>
      <c r="K101" s="1">
        <v>0</v>
      </c>
    </row>
    <row r="102" spans="1:11" s="4" customFormat="1" x14ac:dyDescent="0.25">
      <c r="A102" s="1">
        <f t="shared" si="3"/>
        <v>16</v>
      </c>
      <c r="B102" s="6">
        <v>44662</v>
      </c>
      <c r="C102" s="39">
        <f t="shared" si="4"/>
        <v>0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/>
      <c r="J102" s="1">
        <v>0</v>
      </c>
      <c r="K102" s="1">
        <v>0</v>
      </c>
    </row>
    <row r="103" spans="1:11" s="4" customFormat="1" x14ac:dyDescent="0.25">
      <c r="A103" s="1">
        <f t="shared" si="3"/>
        <v>16</v>
      </c>
      <c r="B103" s="6">
        <v>44663</v>
      </c>
      <c r="C103" s="39">
        <f t="shared" si="4"/>
        <v>0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/>
      <c r="J103" s="1">
        <v>0</v>
      </c>
      <c r="K103" s="1">
        <v>0</v>
      </c>
    </row>
    <row r="104" spans="1:11" s="4" customFormat="1" x14ac:dyDescent="0.25">
      <c r="A104" s="1">
        <f t="shared" si="3"/>
        <v>16</v>
      </c>
      <c r="B104" s="6">
        <v>44664</v>
      </c>
      <c r="C104" s="39">
        <f t="shared" si="4"/>
        <v>0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/>
      <c r="J104" s="1">
        <v>0</v>
      </c>
      <c r="K104" s="1">
        <v>0</v>
      </c>
    </row>
    <row r="105" spans="1:11" s="4" customFormat="1" x14ac:dyDescent="0.25">
      <c r="A105" s="1">
        <f t="shared" si="3"/>
        <v>16</v>
      </c>
      <c r="B105" s="6">
        <v>44665</v>
      </c>
      <c r="C105" s="39">
        <f t="shared" si="4"/>
        <v>0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/>
      <c r="J105" s="1">
        <v>0</v>
      </c>
      <c r="K105" s="1">
        <v>0</v>
      </c>
    </row>
    <row r="106" spans="1:11" s="4" customFormat="1" x14ac:dyDescent="0.25">
      <c r="A106" s="1">
        <f t="shared" si="3"/>
        <v>16</v>
      </c>
      <c r="B106" s="6">
        <v>44666</v>
      </c>
      <c r="C106" s="39">
        <f t="shared" si="4"/>
        <v>0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/>
      <c r="J106" s="1">
        <v>0</v>
      </c>
      <c r="K106" s="1">
        <v>0</v>
      </c>
    </row>
    <row r="107" spans="1:11" s="4" customFormat="1" x14ac:dyDescent="0.25">
      <c r="A107" s="1">
        <f t="shared" si="3"/>
        <v>16</v>
      </c>
      <c r="B107" s="6">
        <v>44667</v>
      </c>
      <c r="C107" s="39">
        <f t="shared" si="4"/>
        <v>6.3724999999999996</v>
      </c>
      <c r="D107" s="1">
        <v>6.5</v>
      </c>
      <c r="E107" s="1"/>
      <c r="F107" s="1"/>
      <c r="G107" s="1">
        <v>7.5</v>
      </c>
      <c r="H107" s="1"/>
      <c r="I107" s="1"/>
      <c r="J107" s="1">
        <v>7.29</v>
      </c>
      <c r="K107" s="1">
        <v>4.2</v>
      </c>
    </row>
    <row r="108" spans="1:11" s="4" customFormat="1" x14ac:dyDescent="0.25">
      <c r="A108" s="1">
        <f t="shared" si="3"/>
        <v>16</v>
      </c>
      <c r="B108" s="6">
        <v>44668</v>
      </c>
      <c r="C108" s="39">
        <f t="shared" si="4"/>
        <v>0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/>
      <c r="J108" s="1">
        <v>0</v>
      </c>
      <c r="K108" s="1">
        <v>0</v>
      </c>
    </row>
    <row r="109" spans="1:11" s="4" customFormat="1" x14ac:dyDescent="0.25">
      <c r="A109" s="1">
        <f t="shared" si="3"/>
        <v>17</v>
      </c>
      <c r="B109" s="6">
        <v>44669</v>
      </c>
      <c r="C109" s="39">
        <f t="shared" si="4"/>
        <v>0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/>
      <c r="J109" s="1">
        <v>0</v>
      </c>
      <c r="K109" s="1">
        <v>0</v>
      </c>
    </row>
    <row r="110" spans="1:11" s="4" customFormat="1" x14ac:dyDescent="0.25">
      <c r="A110" s="1">
        <f t="shared" si="3"/>
        <v>17</v>
      </c>
      <c r="B110" s="6">
        <v>44670</v>
      </c>
      <c r="C110" s="39">
        <f t="shared" si="4"/>
        <v>0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/>
      <c r="J110" s="1">
        <v>0</v>
      </c>
      <c r="K110" s="1">
        <v>0</v>
      </c>
    </row>
    <row r="111" spans="1:11" s="4" customFormat="1" x14ac:dyDescent="0.25">
      <c r="A111" s="1">
        <f t="shared" si="3"/>
        <v>17</v>
      </c>
      <c r="B111" s="6">
        <v>44671</v>
      </c>
      <c r="C111" s="39">
        <f t="shared" si="4"/>
        <v>0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/>
      <c r="J111" s="1">
        <v>0</v>
      </c>
      <c r="K111" s="1">
        <v>0</v>
      </c>
    </row>
    <row r="112" spans="1:11" s="4" customFormat="1" x14ac:dyDescent="0.25">
      <c r="A112" s="1">
        <f t="shared" si="3"/>
        <v>17</v>
      </c>
      <c r="B112" s="6">
        <v>44672</v>
      </c>
      <c r="C112" s="39">
        <f t="shared" si="4"/>
        <v>0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/>
      <c r="J112" s="1">
        <v>0</v>
      </c>
      <c r="K112" s="1">
        <v>0</v>
      </c>
    </row>
    <row r="113" spans="1:12" s="4" customFormat="1" x14ac:dyDescent="0.25">
      <c r="A113" s="1">
        <f t="shared" si="3"/>
        <v>17</v>
      </c>
      <c r="B113" s="6">
        <v>44673</v>
      </c>
      <c r="C113" s="39">
        <f t="shared" si="4"/>
        <v>0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/>
      <c r="J113" s="1">
        <v>0</v>
      </c>
      <c r="K113" s="1">
        <v>0</v>
      </c>
    </row>
    <row r="114" spans="1:12" s="4" customFormat="1" x14ac:dyDescent="0.25">
      <c r="A114" s="1">
        <f t="shared" si="3"/>
        <v>17</v>
      </c>
      <c r="B114" s="6">
        <v>44674</v>
      </c>
      <c r="C114" s="39">
        <f t="shared" si="4"/>
        <v>0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/>
      <c r="J114" s="1">
        <v>0</v>
      </c>
      <c r="K114" s="1">
        <v>0</v>
      </c>
    </row>
    <row r="115" spans="1:12" s="4" customFormat="1" x14ac:dyDescent="0.25">
      <c r="A115" s="1">
        <f t="shared" si="3"/>
        <v>17</v>
      </c>
      <c r="B115" s="6">
        <v>44675</v>
      </c>
      <c r="C115" s="39">
        <f t="shared" si="4"/>
        <v>0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/>
      <c r="J115" s="1">
        <v>0</v>
      </c>
      <c r="K115" s="1">
        <v>0</v>
      </c>
    </row>
    <row r="116" spans="1:12" s="4" customFormat="1" x14ac:dyDescent="0.25">
      <c r="A116" s="1">
        <f t="shared" si="3"/>
        <v>18</v>
      </c>
      <c r="B116" s="6">
        <v>44676</v>
      </c>
      <c r="C116" s="39">
        <f t="shared" si="4"/>
        <v>0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/>
      <c r="J116" s="1">
        <v>0</v>
      </c>
      <c r="K116" s="1">
        <v>0</v>
      </c>
    </row>
    <row r="117" spans="1:12" s="4" customFormat="1" x14ac:dyDescent="0.25">
      <c r="A117" s="1">
        <f t="shared" si="3"/>
        <v>18</v>
      </c>
      <c r="B117" s="6">
        <v>44677</v>
      </c>
      <c r="C117" s="39">
        <f t="shared" si="4"/>
        <v>0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/>
      <c r="J117" s="1">
        <v>0</v>
      </c>
      <c r="K117" s="1">
        <v>0</v>
      </c>
    </row>
    <row r="118" spans="1:12" s="4" customFormat="1" x14ac:dyDescent="0.25">
      <c r="A118" s="1">
        <f t="shared" si="3"/>
        <v>18</v>
      </c>
      <c r="B118" s="6">
        <v>44678</v>
      </c>
      <c r="C118" s="39">
        <f t="shared" si="4"/>
        <v>23.099999999999998</v>
      </c>
      <c r="D118" s="1">
        <v>16.5</v>
      </c>
      <c r="E118" s="1">
        <v>27</v>
      </c>
      <c r="F118" s="1">
        <v>1.5</v>
      </c>
      <c r="G118" s="1">
        <v>33</v>
      </c>
      <c r="H118" s="1"/>
      <c r="I118" s="1"/>
      <c r="J118" s="1">
        <v>33.6</v>
      </c>
      <c r="K118" s="1">
        <v>27</v>
      </c>
    </row>
    <row r="119" spans="1:12" s="4" customFormat="1" x14ac:dyDescent="0.25">
      <c r="A119" s="1"/>
      <c r="B119" s="6">
        <v>44679</v>
      </c>
      <c r="C119" s="39">
        <f t="shared" si="4"/>
        <v>0.25166666666666665</v>
      </c>
      <c r="D119" s="1">
        <v>0</v>
      </c>
      <c r="E119" s="1">
        <v>0</v>
      </c>
      <c r="F119" s="1">
        <v>0</v>
      </c>
      <c r="G119" s="1">
        <v>0</v>
      </c>
      <c r="H119" s="1"/>
      <c r="I119" s="1"/>
      <c r="J119" s="1">
        <v>0.71</v>
      </c>
      <c r="K119" s="1">
        <v>0.8</v>
      </c>
    </row>
    <row r="120" spans="1:12" s="4" customFormat="1" x14ac:dyDescent="0.25">
      <c r="A120" s="1">
        <f t="shared" si="3"/>
        <v>18</v>
      </c>
      <c r="B120" s="6">
        <v>44680</v>
      </c>
      <c r="C120" s="39">
        <f t="shared" si="4"/>
        <v>0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/>
      <c r="J120" s="1">
        <v>0</v>
      </c>
      <c r="K120" s="1">
        <v>0</v>
      </c>
    </row>
    <row r="121" spans="1:12" s="14" customFormat="1" ht="15.75" thickBot="1" x14ac:dyDescent="0.3">
      <c r="A121" s="13">
        <f t="shared" si="3"/>
        <v>18</v>
      </c>
      <c r="B121" s="6">
        <v>44681</v>
      </c>
      <c r="C121" s="39">
        <f t="shared" si="4"/>
        <v>0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/>
      <c r="J121" s="1">
        <v>0</v>
      </c>
      <c r="K121" s="1">
        <v>0</v>
      </c>
      <c r="L121" s="20">
        <f>SUM(C92:C121)</f>
        <v>68.924166666666665</v>
      </c>
    </row>
    <row r="122" spans="1:12" s="4" customFormat="1" ht="15.75" thickTop="1" x14ac:dyDescent="0.25">
      <c r="A122" s="1">
        <f t="shared" si="3"/>
        <v>18</v>
      </c>
      <c r="B122" s="6">
        <v>44682</v>
      </c>
      <c r="C122" s="39">
        <f t="shared" si="4"/>
        <v>0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/>
      <c r="J122" s="1">
        <v>0</v>
      </c>
      <c r="K122" s="1">
        <v>0</v>
      </c>
    </row>
    <row r="123" spans="1:12" s="4" customFormat="1" x14ac:dyDescent="0.25">
      <c r="A123" s="1">
        <f t="shared" si="3"/>
        <v>19</v>
      </c>
      <c r="B123" s="6">
        <v>44683</v>
      </c>
      <c r="C123" s="39">
        <f t="shared" si="4"/>
        <v>13.448333333333332</v>
      </c>
      <c r="D123" s="1">
        <v>8.5</v>
      </c>
      <c r="E123" s="1">
        <v>17</v>
      </c>
      <c r="F123" s="1">
        <v>15</v>
      </c>
      <c r="G123" s="1">
        <v>9.5</v>
      </c>
      <c r="H123" s="1"/>
      <c r="I123" s="1"/>
      <c r="J123" s="1">
        <v>15.49</v>
      </c>
      <c r="K123" s="1">
        <v>15.2</v>
      </c>
    </row>
    <row r="124" spans="1:12" s="4" customFormat="1" x14ac:dyDescent="0.25">
      <c r="A124" s="1">
        <f t="shared" si="3"/>
        <v>19</v>
      </c>
      <c r="B124" s="6">
        <v>44684</v>
      </c>
      <c r="C124" s="39">
        <f t="shared" si="4"/>
        <v>0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/>
      <c r="J124" s="1">
        <v>0</v>
      </c>
      <c r="K124" s="1">
        <v>0</v>
      </c>
    </row>
    <row r="125" spans="1:12" s="4" customFormat="1" x14ac:dyDescent="0.25">
      <c r="A125" s="1">
        <f t="shared" si="3"/>
        <v>19</v>
      </c>
      <c r="B125" s="6">
        <v>44685</v>
      </c>
      <c r="C125" s="39">
        <f t="shared" si="4"/>
        <v>0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/>
      <c r="J125" s="1">
        <v>0</v>
      </c>
      <c r="K125" s="1">
        <v>0</v>
      </c>
    </row>
    <row r="126" spans="1:12" s="4" customFormat="1" x14ac:dyDescent="0.25">
      <c r="A126" s="1">
        <f t="shared" si="3"/>
        <v>19</v>
      </c>
      <c r="B126" s="6">
        <v>44686</v>
      </c>
      <c r="C126" s="39">
        <f t="shared" si="4"/>
        <v>0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/>
      <c r="J126" s="1">
        <v>0</v>
      </c>
      <c r="K126" s="1">
        <v>0</v>
      </c>
    </row>
    <row r="127" spans="1:12" s="4" customFormat="1" x14ac:dyDescent="0.25">
      <c r="A127" s="1">
        <f t="shared" si="3"/>
        <v>19</v>
      </c>
      <c r="B127" s="6">
        <v>44687</v>
      </c>
      <c r="C127" s="39">
        <f t="shared" si="4"/>
        <v>0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/>
      <c r="J127" s="1">
        <v>0</v>
      </c>
      <c r="K127" s="1">
        <v>0</v>
      </c>
    </row>
    <row r="128" spans="1:12" s="4" customFormat="1" x14ac:dyDescent="0.25">
      <c r="A128" s="1">
        <f t="shared" si="3"/>
        <v>19</v>
      </c>
      <c r="B128" s="6">
        <v>44688</v>
      </c>
      <c r="C128" s="39">
        <f t="shared" si="4"/>
        <v>0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/>
      <c r="J128" s="1">
        <v>0</v>
      </c>
      <c r="K128" s="1">
        <v>0</v>
      </c>
    </row>
    <row r="129" spans="1:11" s="4" customFormat="1" x14ac:dyDescent="0.25">
      <c r="A129" s="1">
        <f t="shared" si="3"/>
        <v>19</v>
      </c>
      <c r="B129" s="6">
        <v>44689</v>
      </c>
      <c r="C129" s="39">
        <f t="shared" si="4"/>
        <v>0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/>
      <c r="J129" s="1">
        <v>0</v>
      </c>
      <c r="K129" s="1">
        <v>0</v>
      </c>
    </row>
    <row r="130" spans="1:11" s="4" customFormat="1" x14ac:dyDescent="0.25">
      <c r="A130" s="1">
        <f t="shared" si="3"/>
        <v>20</v>
      </c>
      <c r="B130" s="6">
        <v>44690</v>
      </c>
      <c r="C130" s="39">
        <f t="shared" si="4"/>
        <v>19.501666666666665</v>
      </c>
      <c r="D130" s="1">
        <v>16.5</v>
      </c>
      <c r="E130" s="1">
        <v>19</v>
      </c>
      <c r="F130" s="1">
        <v>18</v>
      </c>
      <c r="G130" s="1">
        <v>24</v>
      </c>
      <c r="H130" s="1"/>
      <c r="I130" s="1"/>
      <c r="J130" s="1">
        <v>22.91</v>
      </c>
      <c r="K130" s="1">
        <v>16.600000000000001</v>
      </c>
    </row>
    <row r="131" spans="1:11" s="4" customFormat="1" x14ac:dyDescent="0.25">
      <c r="A131" s="1">
        <f t="shared" ref="A131:A194" si="5">WEEKNUM($B131,2)</f>
        <v>20</v>
      </c>
      <c r="B131" s="6">
        <v>44691</v>
      </c>
      <c r="C131" s="39">
        <f t="shared" ref="C131:C194" si="6">AVERAGE(D131:K131)</f>
        <v>0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/>
      <c r="J131" s="1">
        <v>0</v>
      </c>
      <c r="K131" s="1">
        <v>0</v>
      </c>
    </row>
    <row r="132" spans="1:11" s="4" customFormat="1" x14ac:dyDescent="0.25">
      <c r="A132" s="1">
        <f t="shared" si="5"/>
        <v>20</v>
      </c>
      <c r="B132" s="6">
        <v>44692</v>
      </c>
      <c r="C132" s="39">
        <f t="shared" si="6"/>
        <v>0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/>
      <c r="J132" s="1">
        <v>0</v>
      </c>
      <c r="K132" s="1">
        <v>0</v>
      </c>
    </row>
    <row r="133" spans="1:11" s="4" customFormat="1" x14ac:dyDescent="0.25">
      <c r="A133" s="1">
        <f t="shared" si="5"/>
        <v>20</v>
      </c>
      <c r="B133" s="6">
        <v>44693</v>
      </c>
      <c r="C133" s="39">
        <f t="shared" si="6"/>
        <v>0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/>
      <c r="J133" s="1">
        <v>0</v>
      </c>
      <c r="K133" s="1">
        <v>0</v>
      </c>
    </row>
    <row r="134" spans="1:11" s="4" customFormat="1" x14ac:dyDescent="0.25">
      <c r="A134" s="1">
        <f t="shared" si="5"/>
        <v>20</v>
      </c>
      <c r="B134" s="6">
        <v>44694</v>
      </c>
      <c r="C134" s="39">
        <f t="shared" si="6"/>
        <v>0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/>
      <c r="J134" s="1">
        <v>0</v>
      </c>
      <c r="K134" s="1">
        <v>0</v>
      </c>
    </row>
    <row r="135" spans="1:11" s="4" customFormat="1" x14ac:dyDescent="0.25">
      <c r="A135" s="1">
        <f t="shared" si="5"/>
        <v>20</v>
      </c>
      <c r="B135" s="6">
        <v>44695</v>
      </c>
      <c r="C135" s="39">
        <f t="shared" si="6"/>
        <v>0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/>
      <c r="J135" s="1">
        <v>0</v>
      </c>
      <c r="K135" s="1">
        <v>0</v>
      </c>
    </row>
    <row r="136" spans="1:11" s="4" customFormat="1" x14ac:dyDescent="0.25">
      <c r="A136" s="1">
        <f t="shared" si="5"/>
        <v>20</v>
      </c>
      <c r="B136" s="6">
        <v>44696</v>
      </c>
      <c r="C136" s="39">
        <f t="shared" si="6"/>
        <v>0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/>
      <c r="J136" s="1">
        <v>0</v>
      </c>
      <c r="K136" s="1">
        <v>0</v>
      </c>
    </row>
    <row r="137" spans="1:11" s="4" customFormat="1" x14ac:dyDescent="0.25">
      <c r="A137" s="1">
        <f t="shared" si="5"/>
        <v>21</v>
      </c>
      <c r="B137" s="6">
        <v>44697</v>
      </c>
      <c r="C137" s="39">
        <f t="shared" si="6"/>
        <v>0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/>
      <c r="J137" s="1">
        <v>0</v>
      </c>
      <c r="K137" s="1">
        <v>0</v>
      </c>
    </row>
    <row r="138" spans="1:11" s="4" customFormat="1" x14ac:dyDescent="0.25">
      <c r="A138" s="1">
        <f t="shared" si="5"/>
        <v>21</v>
      </c>
      <c r="B138" s="6">
        <v>44698</v>
      </c>
      <c r="C138" s="39">
        <f t="shared" si="6"/>
        <v>0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/>
      <c r="J138" s="1">
        <v>0</v>
      </c>
      <c r="K138" s="1">
        <v>0</v>
      </c>
    </row>
    <row r="139" spans="1:11" s="4" customFormat="1" x14ac:dyDescent="0.25">
      <c r="A139" s="1">
        <f t="shared" si="5"/>
        <v>21</v>
      </c>
      <c r="B139" s="6">
        <v>44699</v>
      </c>
      <c r="C139" s="39">
        <f t="shared" si="6"/>
        <v>17.64</v>
      </c>
      <c r="D139" s="1">
        <v>15</v>
      </c>
      <c r="E139" s="1">
        <v>14</v>
      </c>
      <c r="F139" s="1">
        <v>22</v>
      </c>
      <c r="G139" s="1">
        <v>18</v>
      </c>
      <c r="H139" s="1"/>
      <c r="I139" s="1"/>
      <c r="J139" s="1"/>
      <c r="K139" s="1">
        <v>19.2</v>
      </c>
    </row>
    <row r="140" spans="1:11" s="4" customFormat="1" x14ac:dyDescent="0.25">
      <c r="A140" s="1">
        <f t="shared" si="5"/>
        <v>21</v>
      </c>
      <c r="B140" s="6">
        <v>44700</v>
      </c>
      <c r="C140" s="39">
        <f t="shared" si="6"/>
        <v>0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/>
      <c r="J140" s="1">
        <v>0</v>
      </c>
      <c r="K140" s="1">
        <v>0</v>
      </c>
    </row>
    <row r="141" spans="1:11" s="4" customFormat="1" x14ac:dyDescent="0.25">
      <c r="A141" s="1">
        <f t="shared" si="5"/>
        <v>21</v>
      </c>
      <c r="B141" s="6">
        <v>44701</v>
      </c>
      <c r="C141" s="39">
        <f t="shared" si="6"/>
        <v>0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/>
      <c r="J141" s="1">
        <v>0</v>
      </c>
      <c r="K141" s="1">
        <v>0</v>
      </c>
    </row>
    <row r="142" spans="1:11" s="4" customFormat="1" x14ac:dyDescent="0.25">
      <c r="A142" s="1">
        <f t="shared" si="5"/>
        <v>21</v>
      </c>
      <c r="B142" s="6">
        <v>44702</v>
      </c>
      <c r="C142" s="39">
        <f t="shared" si="6"/>
        <v>22.681666666666668</v>
      </c>
      <c r="D142" s="1">
        <v>21.5</v>
      </c>
      <c r="E142" s="1">
        <v>17</v>
      </c>
      <c r="F142" s="1">
        <v>18</v>
      </c>
      <c r="G142" s="1">
        <v>25</v>
      </c>
      <c r="H142" s="1"/>
      <c r="I142" s="1"/>
      <c r="J142" s="1">
        <v>24.79</v>
      </c>
      <c r="K142" s="1">
        <v>29.8</v>
      </c>
    </row>
    <row r="143" spans="1:11" s="4" customFormat="1" x14ac:dyDescent="0.25">
      <c r="A143" s="1">
        <f t="shared" si="5"/>
        <v>21</v>
      </c>
      <c r="B143" s="6">
        <v>44703</v>
      </c>
      <c r="C143" s="39">
        <f t="shared" si="6"/>
        <v>0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/>
      <c r="J143" s="1">
        <v>0</v>
      </c>
      <c r="K143" s="1">
        <v>0</v>
      </c>
    </row>
    <row r="144" spans="1:11" s="4" customFormat="1" x14ac:dyDescent="0.25">
      <c r="A144" s="1">
        <f t="shared" si="5"/>
        <v>22</v>
      </c>
      <c r="B144" s="6">
        <v>44704</v>
      </c>
      <c r="C144" s="39">
        <f t="shared" si="6"/>
        <v>0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/>
      <c r="J144" s="1">
        <v>0</v>
      </c>
      <c r="K144" s="1">
        <v>0</v>
      </c>
    </row>
    <row r="145" spans="1:12" s="4" customFormat="1" x14ac:dyDescent="0.25">
      <c r="A145" s="1">
        <f t="shared" si="5"/>
        <v>22</v>
      </c>
      <c r="B145" s="6">
        <v>44705</v>
      </c>
      <c r="C145" s="39">
        <f t="shared" si="6"/>
        <v>17.066666666666666</v>
      </c>
      <c r="D145" s="1">
        <v>27</v>
      </c>
      <c r="E145" s="1">
        <v>13</v>
      </c>
      <c r="F145" s="1">
        <v>11</v>
      </c>
      <c r="G145" s="1">
        <v>27</v>
      </c>
      <c r="H145" s="1"/>
      <c r="I145" s="1"/>
      <c r="J145" s="1">
        <v>15.8</v>
      </c>
      <c r="K145" s="1">
        <v>8.6</v>
      </c>
    </row>
    <row r="146" spans="1:12" s="4" customFormat="1" x14ac:dyDescent="0.25">
      <c r="A146" s="1">
        <f t="shared" si="5"/>
        <v>22</v>
      </c>
      <c r="B146" s="6">
        <v>44706</v>
      </c>
      <c r="C146" s="39">
        <f t="shared" si="6"/>
        <v>0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/>
      <c r="J146" s="1">
        <v>0</v>
      </c>
      <c r="K146" s="1">
        <v>0</v>
      </c>
    </row>
    <row r="147" spans="1:12" s="4" customFormat="1" x14ac:dyDescent="0.25">
      <c r="A147" s="1">
        <f t="shared" si="5"/>
        <v>22</v>
      </c>
      <c r="B147" s="6">
        <v>44707</v>
      </c>
      <c r="C147" s="39">
        <f t="shared" si="6"/>
        <v>0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/>
      <c r="J147" s="1">
        <v>0</v>
      </c>
      <c r="K147" s="1">
        <v>0</v>
      </c>
    </row>
    <row r="148" spans="1:12" s="4" customFormat="1" x14ac:dyDescent="0.25">
      <c r="A148" s="1">
        <f t="shared" si="5"/>
        <v>22</v>
      </c>
      <c r="B148" s="6">
        <v>44708</v>
      </c>
      <c r="C148" s="39">
        <f t="shared" si="6"/>
        <v>0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/>
      <c r="J148" s="1">
        <v>0</v>
      </c>
      <c r="K148" s="1">
        <v>0</v>
      </c>
    </row>
    <row r="149" spans="1:12" s="4" customFormat="1" x14ac:dyDescent="0.25">
      <c r="A149" s="1">
        <f t="shared" si="5"/>
        <v>22</v>
      </c>
      <c r="B149" s="6">
        <v>44709</v>
      </c>
      <c r="C149" s="39">
        <f t="shared" si="6"/>
        <v>0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/>
      <c r="J149" s="1">
        <v>0</v>
      </c>
      <c r="K149" s="1">
        <v>0</v>
      </c>
    </row>
    <row r="150" spans="1:12" s="4" customFormat="1" x14ac:dyDescent="0.25">
      <c r="A150" s="1">
        <f t="shared" si="5"/>
        <v>22</v>
      </c>
      <c r="B150" s="6">
        <v>44710</v>
      </c>
      <c r="C150" s="39">
        <f t="shared" si="6"/>
        <v>0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/>
      <c r="J150" s="1">
        <v>0</v>
      </c>
      <c r="K150" s="1">
        <v>0</v>
      </c>
    </row>
    <row r="151" spans="1:12" s="4" customFormat="1" x14ac:dyDescent="0.25">
      <c r="A151" s="1"/>
      <c r="B151" s="6">
        <v>44711</v>
      </c>
      <c r="C151" s="39">
        <f t="shared" si="6"/>
        <v>5.3999999999999995</v>
      </c>
      <c r="D151" s="1">
        <v>3.5</v>
      </c>
      <c r="E151" s="1">
        <v>5.5</v>
      </c>
      <c r="F151" s="1">
        <v>7.5</v>
      </c>
      <c r="G151" s="1">
        <v>6</v>
      </c>
      <c r="H151" s="1"/>
      <c r="I151" s="1"/>
      <c r="J151" s="1">
        <v>6.3</v>
      </c>
      <c r="K151" s="1">
        <v>3.6</v>
      </c>
    </row>
    <row r="152" spans="1:12" s="4" customFormat="1" x14ac:dyDescent="0.25">
      <c r="A152" s="1">
        <f t="shared" si="5"/>
        <v>23</v>
      </c>
      <c r="B152" s="6">
        <v>44712</v>
      </c>
      <c r="C152" s="39">
        <f t="shared" si="6"/>
        <v>0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/>
      <c r="J152" s="1">
        <v>0</v>
      </c>
      <c r="K152" s="1">
        <v>0</v>
      </c>
      <c r="L152" s="21">
        <f>SUM(C122:C152)</f>
        <v>95.73833333333333</v>
      </c>
    </row>
    <row r="153" spans="1:12" s="4" customFormat="1" x14ac:dyDescent="0.25">
      <c r="A153" s="1">
        <f t="shared" si="5"/>
        <v>23</v>
      </c>
      <c r="B153" s="6">
        <v>44713</v>
      </c>
      <c r="C153" s="39">
        <f t="shared" si="6"/>
        <v>1.4166666666666667</v>
      </c>
      <c r="D153" s="1">
        <v>4.5</v>
      </c>
      <c r="E153" s="1">
        <v>0</v>
      </c>
      <c r="F153" s="1">
        <v>0</v>
      </c>
      <c r="G153" s="1">
        <v>3.5</v>
      </c>
      <c r="H153" s="1"/>
      <c r="I153" s="1"/>
      <c r="J153" s="1">
        <v>0.3</v>
      </c>
      <c r="K153" s="1">
        <v>0.2</v>
      </c>
    </row>
    <row r="154" spans="1:12" s="4" customFormat="1" x14ac:dyDescent="0.25">
      <c r="A154" s="1">
        <f t="shared" si="5"/>
        <v>23</v>
      </c>
      <c r="B154" s="6">
        <v>44714</v>
      </c>
      <c r="C154" s="39">
        <f t="shared" si="6"/>
        <v>0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/>
      <c r="J154" s="1">
        <v>0</v>
      </c>
      <c r="K154" s="1">
        <v>0</v>
      </c>
    </row>
    <row r="155" spans="1:12" s="4" customFormat="1" x14ac:dyDescent="0.25">
      <c r="A155" s="1">
        <f t="shared" si="5"/>
        <v>23</v>
      </c>
      <c r="B155" s="6">
        <v>44715</v>
      </c>
      <c r="C155" s="39">
        <f t="shared" si="6"/>
        <v>0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/>
      <c r="J155" s="1">
        <v>0</v>
      </c>
      <c r="K155" s="1">
        <v>0</v>
      </c>
    </row>
    <row r="156" spans="1:12" s="4" customFormat="1" x14ac:dyDescent="0.25">
      <c r="A156" s="1">
        <f t="shared" si="5"/>
        <v>23</v>
      </c>
      <c r="B156" s="6">
        <v>44716</v>
      </c>
      <c r="C156" s="39">
        <f t="shared" si="6"/>
        <v>0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/>
      <c r="J156" s="1">
        <v>0</v>
      </c>
      <c r="K156" s="1">
        <v>0</v>
      </c>
    </row>
    <row r="157" spans="1:12" s="4" customFormat="1" x14ac:dyDescent="0.25">
      <c r="A157" s="1">
        <f t="shared" si="5"/>
        <v>23</v>
      </c>
      <c r="B157" s="6">
        <v>44717</v>
      </c>
      <c r="C157" s="39">
        <f t="shared" si="6"/>
        <v>0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/>
      <c r="J157" s="1">
        <v>0</v>
      </c>
      <c r="K157" s="1">
        <v>0</v>
      </c>
    </row>
    <row r="158" spans="1:12" s="4" customFormat="1" x14ac:dyDescent="0.25">
      <c r="A158" s="1">
        <f t="shared" si="5"/>
        <v>24</v>
      </c>
      <c r="B158" s="6">
        <v>44718</v>
      </c>
      <c r="C158" s="39">
        <f t="shared" si="6"/>
        <v>13.65</v>
      </c>
      <c r="D158" s="1">
        <v>21</v>
      </c>
      <c r="E158" s="1">
        <v>10</v>
      </c>
      <c r="F158" s="1">
        <v>8</v>
      </c>
      <c r="G158" s="1">
        <v>18</v>
      </c>
      <c r="H158" s="1"/>
      <c r="I158" s="1"/>
      <c r="J158" s="1">
        <v>12.7</v>
      </c>
      <c r="K158" s="1">
        <v>12.2</v>
      </c>
    </row>
    <row r="159" spans="1:12" s="4" customFormat="1" x14ac:dyDescent="0.25">
      <c r="A159" s="1">
        <f t="shared" si="5"/>
        <v>24</v>
      </c>
      <c r="B159" s="6">
        <v>44719</v>
      </c>
      <c r="C159" s="39">
        <f t="shared" si="6"/>
        <v>0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/>
      <c r="J159" s="1">
        <v>0</v>
      </c>
      <c r="K159" s="1">
        <v>0</v>
      </c>
    </row>
    <row r="160" spans="1:12" s="4" customFormat="1" x14ac:dyDescent="0.25">
      <c r="A160" s="1">
        <f t="shared" si="5"/>
        <v>24</v>
      </c>
      <c r="B160" s="6">
        <v>44720</v>
      </c>
      <c r="C160" s="39">
        <f t="shared" si="6"/>
        <v>0.48166666666666669</v>
      </c>
      <c r="D160" s="1">
        <v>0.5</v>
      </c>
      <c r="E160" s="1">
        <v>0.6</v>
      </c>
      <c r="F160" s="1">
        <v>0.5</v>
      </c>
      <c r="G160" s="1">
        <v>0.5</v>
      </c>
      <c r="H160" s="1"/>
      <c r="I160" s="1"/>
      <c r="J160" s="1">
        <v>0.79</v>
      </c>
      <c r="K160" s="1">
        <v>0</v>
      </c>
    </row>
    <row r="161" spans="1:14" s="4" customFormat="1" x14ac:dyDescent="0.25">
      <c r="A161" s="1">
        <f t="shared" si="5"/>
        <v>24</v>
      </c>
      <c r="B161" s="6">
        <v>44721</v>
      </c>
      <c r="C161" s="39">
        <f t="shared" si="6"/>
        <v>0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/>
      <c r="J161" s="1">
        <v>0</v>
      </c>
      <c r="K161" s="1">
        <v>0</v>
      </c>
    </row>
    <row r="162" spans="1:14" s="4" customFormat="1" x14ac:dyDescent="0.25">
      <c r="A162" s="1">
        <f t="shared" si="5"/>
        <v>24</v>
      </c>
      <c r="B162" s="6">
        <v>44722</v>
      </c>
      <c r="C162" s="39">
        <f t="shared" si="6"/>
        <v>0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/>
      <c r="J162" s="1">
        <v>0</v>
      </c>
      <c r="K162" s="1">
        <v>0</v>
      </c>
    </row>
    <row r="163" spans="1:14" s="4" customFormat="1" x14ac:dyDescent="0.25">
      <c r="A163" s="1">
        <f t="shared" si="5"/>
        <v>24</v>
      </c>
      <c r="B163" s="6">
        <v>44723</v>
      </c>
      <c r="C163" s="39">
        <f t="shared" si="6"/>
        <v>0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/>
      <c r="J163" s="1">
        <v>0</v>
      </c>
      <c r="K163" s="1">
        <v>0</v>
      </c>
    </row>
    <row r="164" spans="1:14" s="4" customFormat="1" x14ac:dyDescent="0.25">
      <c r="A164" s="1"/>
      <c r="B164" s="6">
        <v>44724</v>
      </c>
      <c r="C164" s="39">
        <f t="shared" si="6"/>
        <v>32.200000000000003</v>
      </c>
      <c r="D164" s="1">
        <v>42</v>
      </c>
      <c r="E164" s="1">
        <v>21</v>
      </c>
      <c r="F164" s="1">
        <v>30</v>
      </c>
      <c r="G164" s="1">
        <v>43</v>
      </c>
      <c r="H164" s="1"/>
      <c r="I164" s="1"/>
      <c r="J164" s="1"/>
      <c r="K164" s="1">
        <v>25</v>
      </c>
    </row>
    <row r="165" spans="1:14" s="4" customFormat="1" x14ac:dyDescent="0.25">
      <c r="A165" s="1">
        <f t="shared" si="5"/>
        <v>25</v>
      </c>
      <c r="B165" s="6">
        <v>44725</v>
      </c>
      <c r="C165" s="39">
        <f t="shared" si="6"/>
        <v>0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/>
      <c r="J165" s="1">
        <v>0</v>
      </c>
      <c r="K165" s="1">
        <v>0</v>
      </c>
    </row>
    <row r="166" spans="1:14" s="4" customFormat="1" x14ac:dyDescent="0.25">
      <c r="A166" s="1">
        <f t="shared" si="5"/>
        <v>25</v>
      </c>
      <c r="B166" s="6">
        <v>44726</v>
      </c>
      <c r="C166" s="39">
        <f t="shared" si="6"/>
        <v>20.32</v>
      </c>
      <c r="D166" s="1">
        <v>17</v>
      </c>
      <c r="E166" s="1">
        <v>19</v>
      </c>
      <c r="F166" s="1">
        <v>30</v>
      </c>
      <c r="G166" s="1">
        <v>20</v>
      </c>
      <c r="H166" s="1"/>
      <c r="I166" s="1"/>
      <c r="J166" s="1"/>
      <c r="K166" s="1">
        <v>15.6</v>
      </c>
    </row>
    <row r="167" spans="1:14" s="4" customFormat="1" x14ac:dyDescent="0.25">
      <c r="A167" s="1">
        <f t="shared" si="5"/>
        <v>25</v>
      </c>
      <c r="B167" s="6">
        <v>44727</v>
      </c>
      <c r="C167" s="39">
        <f t="shared" si="6"/>
        <v>26.2</v>
      </c>
      <c r="D167" s="1">
        <v>18</v>
      </c>
      <c r="E167" s="1">
        <v>25</v>
      </c>
      <c r="F167" s="1">
        <v>28</v>
      </c>
      <c r="G167" s="1">
        <v>25</v>
      </c>
      <c r="H167" s="1"/>
      <c r="I167" s="1"/>
      <c r="J167" s="1"/>
      <c r="K167" s="1">
        <v>35</v>
      </c>
    </row>
    <row r="168" spans="1:14" s="4" customFormat="1" x14ac:dyDescent="0.25">
      <c r="A168" s="1">
        <f t="shared" si="5"/>
        <v>25</v>
      </c>
      <c r="B168" s="6">
        <v>44728</v>
      </c>
      <c r="C168" s="39">
        <f t="shared" si="6"/>
        <v>48.519999999999996</v>
      </c>
      <c r="D168" s="1">
        <v>53</v>
      </c>
      <c r="E168" s="1">
        <v>38</v>
      </c>
      <c r="F168" s="1">
        <v>59</v>
      </c>
      <c r="G168" s="1">
        <v>45</v>
      </c>
      <c r="H168" s="1"/>
      <c r="I168" s="1"/>
      <c r="J168" s="1"/>
      <c r="K168" s="1">
        <v>47.6</v>
      </c>
      <c r="N168" s="21"/>
    </row>
    <row r="169" spans="1:14" s="4" customFormat="1" x14ac:dyDescent="0.25">
      <c r="A169" s="1">
        <f t="shared" si="5"/>
        <v>25</v>
      </c>
      <c r="B169" s="6">
        <v>44729</v>
      </c>
      <c r="C169" s="39">
        <f t="shared" si="6"/>
        <v>8.2650000000000006</v>
      </c>
      <c r="D169" s="1">
        <v>7</v>
      </c>
      <c r="E169" s="1">
        <v>7.5</v>
      </c>
      <c r="F169" s="1">
        <v>5.5</v>
      </c>
      <c r="G169" s="1">
        <v>8.5</v>
      </c>
      <c r="H169" s="1"/>
      <c r="I169" s="1"/>
      <c r="J169" s="1">
        <v>8.89</v>
      </c>
      <c r="K169" s="1">
        <v>12.2</v>
      </c>
    </row>
    <row r="170" spans="1:14" s="4" customFormat="1" x14ac:dyDescent="0.25">
      <c r="A170" s="1">
        <f t="shared" si="5"/>
        <v>25</v>
      </c>
      <c r="B170" s="6">
        <v>44730</v>
      </c>
      <c r="C170" s="39">
        <f t="shared" si="6"/>
        <v>0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/>
      <c r="J170" s="1">
        <v>0</v>
      </c>
      <c r="K170" s="1">
        <v>0</v>
      </c>
    </row>
    <row r="171" spans="1:14" s="4" customFormat="1" x14ac:dyDescent="0.25">
      <c r="A171" s="1">
        <f t="shared" si="5"/>
        <v>25</v>
      </c>
      <c r="B171" s="6">
        <v>44731</v>
      </c>
      <c r="C171" s="39">
        <f t="shared" si="6"/>
        <v>3.7183333333333333</v>
      </c>
      <c r="D171" s="1">
        <v>3</v>
      </c>
      <c r="E171" s="1">
        <v>3.5</v>
      </c>
      <c r="F171" s="1">
        <v>7.5</v>
      </c>
      <c r="G171" s="1">
        <v>2.5</v>
      </c>
      <c r="H171" s="1"/>
      <c r="I171" s="1"/>
      <c r="J171" s="1">
        <v>3.81</v>
      </c>
      <c r="K171" s="1">
        <v>2</v>
      </c>
    </row>
    <row r="172" spans="1:14" s="4" customFormat="1" x14ac:dyDescent="0.25">
      <c r="A172" s="1">
        <f t="shared" si="5"/>
        <v>26</v>
      </c>
      <c r="B172" s="6">
        <v>44732</v>
      </c>
      <c r="C172" s="39">
        <f t="shared" si="6"/>
        <v>6.0666666666666673</v>
      </c>
      <c r="D172" s="1">
        <v>6</v>
      </c>
      <c r="E172" s="1">
        <v>6</v>
      </c>
      <c r="F172" s="1">
        <v>6</v>
      </c>
      <c r="G172" s="1">
        <v>6</v>
      </c>
      <c r="H172" s="1"/>
      <c r="I172" s="1"/>
      <c r="J172" s="1">
        <v>8.1999999999999993</v>
      </c>
      <c r="K172" s="1">
        <v>4.2</v>
      </c>
    </row>
    <row r="173" spans="1:14" s="4" customFormat="1" x14ac:dyDescent="0.25">
      <c r="A173" s="1">
        <f t="shared" si="5"/>
        <v>26</v>
      </c>
      <c r="B173" s="6">
        <v>44733</v>
      </c>
      <c r="C173" s="39">
        <f t="shared" si="6"/>
        <v>0</v>
      </c>
      <c r="D173" s="1">
        <v>0</v>
      </c>
      <c r="E173" s="1"/>
      <c r="F173" s="1"/>
      <c r="G173" s="1"/>
      <c r="H173" s="1"/>
      <c r="I173" s="1"/>
      <c r="J173" s="1"/>
      <c r="K173" s="1"/>
    </row>
    <row r="174" spans="1:14" s="4" customFormat="1" x14ac:dyDescent="0.25">
      <c r="A174" s="1">
        <f t="shared" si="5"/>
        <v>26</v>
      </c>
      <c r="B174" s="6">
        <v>44734</v>
      </c>
      <c r="C174" s="39">
        <f t="shared" si="6"/>
        <v>46.579999999999991</v>
      </c>
      <c r="D174" s="1">
        <v>32.5</v>
      </c>
      <c r="E174" s="1">
        <v>50</v>
      </c>
      <c r="F174" s="1">
        <v>55</v>
      </c>
      <c r="G174" s="1">
        <v>36</v>
      </c>
      <c r="H174" s="1"/>
      <c r="I174" s="1"/>
      <c r="J174" s="1">
        <v>54.58</v>
      </c>
      <c r="K174" s="1">
        <v>51.4</v>
      </c>
    </row>
    <row r="175" spans="1:14" s="4" customFormat="1" x14ac:dyDescent="0.25">
      <c r="A175" s="1">
        <f t="shared" si="5"/>
        <v>26</v>
      </c>
      <c r="B175" s="6">
        <v>44735</v>
      </c>
      <c r="C175" s="39">
        <f t="shared" si="6"/>
        <v>0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/>
      <c r="J175" s="1">
        <v>0</v>
      </c>
      <c r="K175" s="1">
        <v>0</v>
      </c>
    </row>
    <row r="176" spans="1:14" s="4" customFormat="1" x14ac:dyDescent="0.25">
      <c r="A176" s="1">
        <f t="shared" si="5"/>
        <v>26</v>
      </c>
      <c r="B176" s="6">
        <v>44736</v>
      </c>
      <c r="C176" s="39">
        <f t="shared" si="6"/>
        <v>0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/>
      <c r="J176" s="1">
        <v>0</v>
      </c>
      <c r="K176" s="1">
        <v>0</v>
      </c>
    </row>
    <row r="177" spans="1:12" s="4" customFormat="1" x14ac:dyDescent="0.25">
      <c r="A177" s="1">
        <f t="shared" si="5"/>
        <v>26</v>
      </c>
      <c r="B177" s="6">
        <v>44737</v>
      </c>
      <c r="C177" s="39">
        <f t="shared" si="6"/>
        <v>7.8516666666666666</v>
      </c>
      <c r="D177" s="1">
        <v>11.5</v>
      </c>
      <c r="E177" s="1">
        <v>4.5</v>
      </c>
      <c r="F177" s="1">
        <v>6.5</v>
      </c>
      <c r="G177" s="1">
        <v>11</v>
      </c>
      <c r="H177" s="1"/>
      <c r="I177" s="1"/>
      <c r="J177" s="1">
        <v>8.41</v>
      </c>
      <c r="K177" s="1">
        <v>5.2</v>
      </c>
    </row>
    <row r="178" spans="1:12" s="4" customFormat="1" x14ac:dyDescent="0.25">
      <c r="A178" s="1">
        <f t="shared" si="5"/>
        <v>26</v>
      </c>
      <c r="B178" s="6">
        <v>44738</v>
      </c>
      <c r="C178" s="39">
        <f t="shared" si="6"/>
        <v>0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/>
      <c r="J178" s="1">
        <v>0</v>
      </c>
      <c r="K178" s="1">
        <v>0</v>
      </c>
    </row>
    <row r="179" spans="1:12" s="4" customFormat="1" x14ac:dyDescent="0.25">
      <c r="A179" s="1">
        <f t="shared" si="5"/>
        <v>27</v>
      </c>
      <c r="B179" s="6">
        <v>44739</v>
      </c>
      <c r="C179" s="39">
        <f t="shared" si="6"/>
        <v>17.885000000000002</v>
      </c>
      <c r="D179" s="1">
        <v>24.5</v>
      </c>
      <c r="E179" s="1">
        <v>15</v>
      </c>
      <c r="F179" s="1">
        <v>2</v>
      </c>
      <c r="G179" s="1">
        <v>30</v>
      </c>
      <c r="H179" s="1"/>
      <c r="I179" s="1"/>
      <c r="J179" s="1">
        <v>22.81</v>
      </c>
      <c r="K179" s="1">
        <v>13</v>
      </c>
    </row>
    <row r="180" spans="1:12" s="4" customFormat="1" x14ac:dyDescent="0.25">
      <c r="A180" s="1">
        <f t="shared" si="5"/>
        <v>27</v>
      </c>
      <c r="B180" s="6">
        <v>44740</v>
      </c>
      <c r="C180" s="39">
        <f t="shared" si="6"/>
        <v>0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/>
      <c r="J180" s="1">
        <v>0</v>
      </c>
      <c r="K180" s="1">
        <v>0</v>
      </c>
    </row>
    <row r="181" spans="1:12" s="4" customFormat="1" x14ac:dyDescent="0.25">
      <c r="A181" s="1">
        <f t="shared" si="5"/>
        <v>27</v>
      </c>
      <c r="B181" s="6">
        <v>44741</v>
      </c>
      <c r="C181" s="39">
        <f t="shared" si="6"/>
        <v>2.0816666666666666</v>
      </c>
      <c r="D181" s="1">
        <v>0.5</v>
      </c>
      <c r="E181" s="1">
        <v>5</v>
      </c>
      <c r="F181" s="1">
        <v>3.5</v>
      </c>
      <c r="G181" s="1">
        <v>0.5</v>
      </c>
      <c r="H181" s="1"/>
      <c r="I181" s="1"/>
      <c r="J181" s="1">
        <v>2.79</v>
      </c>
      <c r="K181" s="1">
        <v>0.2</v>
      </c>
    </row>
    <row r="182" spans="1:12" s="14" customFormat="1" ht="15.75" thickBot="1" x14ac:dyDescent="0.3">
      <c r="A182" s="13">
        <f t="shared" si="5"/>
        <v>27</v>
      </c>
      <c r="B182" s="6">
        <v>44742</v>
      </c>
      <c r="C182" s="39">
        <f t="shared" si="6"/>
        <v>38.064999999999998</v>
      </c>
      <c r="D182" s="1">
        <v>30.5</v>
      </c>
      <c r="E182" s="1">
        <v>28</v>
      </c>
      <c r="F182" s="1">
        <v>34</v>
      </c>
      <c r="G182" s="1">
        <v>43</v>
      </c>
      <c r="H182" s="1"/>
      <c r="I182" s="1"/>
      <c r="J182" s="1">
        <v>36.090000000000003</v>
      </c>
      <c r="K182" s="1">
        <v>56.8</v>
      </c>
      <c r="L182" s="20">
        <f>SUM(C153:C182)</f>
        <v>273.30166666666662</v>
      </c>
    </row>
    <row r="183" spans="1:12" s="4" customFormat="1" ht="15.75" thickTop="1" x14ac:dyDescent="0.25">
      <c r="A183" s="1">
        <f t="shared" si="5"/>
        <v>27</v>
      </c>
      <c r="B183" s="6">
        <v>44743</v>
      </c>
      <c r="C183" s="39">
        <f t="shared" si="6"/>
        <v>8.1666666666666661</v>
      </c>
      <c r="D183" s="1">
        <v>2</v>
      </c>
      <c r="E183" s="1">
        <v>7.5</v>
      </c>
      <c r="F183" s="1">
        <v>29</v>
      </c>
      <c r="G183" s="1">
        <v>3</v>
      </c>
      <c r="H183" s="1"/>
      <c r="I183" s="1"/>
      <c r="J183" s="1">
        <v>5.0999999999999996</v>
      </c>
      <c r="K183" s="1">
        <v>2.4</v>
      </c>
    </row>
    <row r="184" spans="1:12" s="4" customFormat="1" x14ac:dyDescent="0.25">
      <c r="A184" s="1">
        <f t="shared" si="5"/>
        <v>27</v>
      </c>
      <c r="B184" s="6">
        <v>44744</v>
      </c>
      <c r="C184" s="39">
        <f t="shared" si="6"/>
        <v>0</v>
      </c>
      <c r="D184" s="1"/>
      <c r="E184" s="1"/>
      <c r="F184" s="1"/>
      <c r="G184" s="1"/>
      <c r="H184" s="1"/>
      <c r="I184" s="1">
        <v>0</v>
      </c>
      <c r="J184" s="1"/>
      <c r="K184" s="1"/>
    </row>
    <row r="185" spans="1:12" s="4" customFormat="1" x14ac:dyDescent="0.25">
      <c r="A185" s="1">
        <f t="shared" si="5"/>
        <v>27</v>
      </c>
      <c r="B185" s="6">
        <v>44745</v>
      </c>
      <c r="C185" s="39">
        <f t="shared" si="6"/>
        <v>1.1071428571428572</v>
      </c>
      <c r="D185" s="1">
        <v>0.25</v>
      </c>
      <c r="E185" s="1">
        <v>1.5</v>
      </c>
      <c r="F185" s="1">
        <v>0.75</v>
      </c>
      <c r="G185" s="1">
        <v>0.25</v>
      </c>
      <c r="H185" s="1"/>
      <c r="I185" s="1">
        <v>1.5</v>
      </c>
      <c r="J185" s="1">
        <v>1.7</v>
      </c>
      <c r="K185" s="1">
        <v>1.8</v>
      </c>
    </row>
    <row r="186" spans="1:12" s="4" customFormat="1" x14ac:dyDescent="0.25">
      <c r="A186" s="1">
        <f t="shared" si="5"/>
        <v>28</v>
      </c>
      <c r="B186" s="6">
        <v>44746</v>
      </c>
      <c r="C186" s="39">
        <f t="shared" si="6"/>
        <v>25.915714285714284</v>
      </c>
      <c r="D186" s="1">
        <v>13.5</v>
      </c>
      <c r="E186" s="1">
        <v>30</v>
      </c>
      <c r="F186" s="1">
        <v>43</v>
      </c>
      <c r="G186" s="1">
        <v>13</v>
      </c>
      <c r="H186" s="1"/>
      <c r="I186" s="1">
        <v>26</v>
      </c>
      <c r="J186" s="1">
        <v>32.31</v>
      </c>
      <c r="K186" s="1">
        <v>23.6</v>
      </c>
    </row>
    <row r="187" spans="1:12" s="4" customFormat="1" x14ac:dyDescent="0.25">
      <c r="A187" s="1">
        <f t="shared" si="5"/>
        <v>28</v>
      </c>
      <c r="B187" s="6">
        <v>44747</v>
      </c>
      <c r="C187" s="39">
        <f t="shared" si="6"/>
        <v>7.32</v>
      </c>
      <c r="D187" s="1">
        <v>8.5</v>
      </c>
      <c r="E187" s="1">
        <v>8</v>
      </c>
      <c r="F187" s="1">
        <v>6.5</v>
      </c>
      <c r="G187" s="1">
        <v>9</v>
      </c>
      <c r="H187" s="1"/>
      <c r="I187" s="1">
        <v>6.25</v>
      </c>
      <c r="J187" s="1">
        <v>7.59</v>
      </c>
      <c r="K187" s="1">
        <v>5.4</v>
      </c>
    </row>
    <row r="188" spans="1:12" s="4" customFormat="1" x14ac:dyDescent="0.25">
      <c r="A188" s="1">
        <f t="shared" si="5"/>
        <v>28</v>
      </c>
      <c r="B188" s="6">
        <v>44748</v>
      </c>
      <c r="C188" s="39">
        <f t="shared" si="6"/>
        <v>16.978571428571428</v>
      </c>
      <c r="D188" s="1">
        <v>3.5</v>
      </c>
      <c r="E188" s="1">
        <v>18</v>
      </c>
      <c r="F188" s="1">
        <v>0.25</v>
      </c>
      <c r="G188" s="1">
        <v>2</v>
      </c>
      <c r="H188" s="1"/>
      <c r="I188" s="1">
        <v>30</v>
      </c>
      <c r="J188" s="1">
        <v>36.299999999999997</v>
      </c>
      <c r="K188" s="1">
        <v>28.8</v>
      </c>
      <c r="L188" s="21"/>
    </row>
    <row r="189" spans="1:12" s="4" customFormat="1" x14ac:dyDescent="0.25">
      <c r="A189" s="1">
        <f t="shared" si="5"/>
        <v>28</v>
      </c>
      <c r="B189" s="6">
        <v>44749</v>
      </c>
      <c r="C189" s="39">
        <f t="shared" si="6"/>
        <v>0.31428571428571433</v>
      </c>
      <c r="D189" s="1">
        <v>0.5</v>
      </c>
      <c r="E189" s="1">
        <v>0.25</v>
      </c>
      <c r="F189" s="1">
        <v>0</v>
      </c>
      <c r="G189" s="1">
        <v>0.5</v>
      </c>
      <c r="H189" s="1"/>
      <c r="I189" s="1">
        <v>0.25</v>
      </c>
      <c r="J189" s="1">
        <v>0.5</v>
      </c>
      <c r="K189" s="1">
        <v>0.2</v>
      </c>
    </row>
    <row r="190" spans="1:12" s="4" customFormat="1" x14ac:dyDescent="0.25">
      <c r="A190" s="1">
        <f t="shared" si="5"/>
        <v>28</v>
      </c>
      <c r="B190" s="6">
        <v>44750</v>
      </c>
      <c r="C190" s="39">
        <f t="shared" si="6"/>
        <v>4.5200000000000005</v>
      </c>
      <c r="D190" s="1">
        <v>4.5</v>
      </c>
      <c r="E190" s="1">
        <v>3</v>
      </c>
      <c r="F190" s="1">
        <v>10</v>
      </c>
      <c r="G190" s="1">
        <v>4.5</v>
      </c>
      <c r="H190" s="1"/>
      <c r="I190" s="1">
        <v>2.25</v>
      </c>
      <c r="J190" s="1">
        <v>2.59</v>
      </c>
      <c r="K190" s="1">
        <v>4.8</v>
      </c>
    </row>
    <row r="191" spans="1:12" s="4" customFormat="1" x14ac:dyDescent="0.25">
      <c r="A191" s="1">
        <f t="shared" si="5"/>
        <v>28</v>
      </c>
      <c r="B191" s="6">
        <v>44751</v>
      </c>
      <c r="C191" s="39">
        <f t="shared" si="6"/>
        <v>0</v>
      </c>
      <c r="D191" s="1"/>
      <c r="E191" s="1"/>
      <c r="F191" s="1"/>
      <c r="G191" s="1"/>
      <c r="H191" s="1"/>
      <c r="I191" s="1">
        <v>0</v>
      </c>
      <c r="J191" s="1"/>
      <c r="K191" s="1"/>
    </row>
    <row r="192" spans="1:12" s="4" customFormat="1" x14ac:dyDescent="0.25">
      <c r="A192" s="1">
        <f t="shared" si="5"/>
        <v>28</v>
      </c>
      <c r="B192" s="6">
        <v>44752</v>
      </c>
      <c r="C192" s="39">
        <f t="shared" si="6"/>
        <v>0</v>
      </c>
      <c r="D192" s="1"/>
      <c r="E192" s="1"/>
      <c r="F192" s="1"/>
      <c r="G192" s="1"/>
      <c r="H192" s="1"/>
      <c r="I192" s="1">
        <v>0</v>
      </c>
      <c r="J192" s="1"/>
      <c r="K192" s="1"/>
    </row>
    <row r="193" spans="1:11" s="4" customFormat="1" x14ac:dyDescent="0.25">
      <c r="A193" s="1">
        <f t="shared" si="5"/>
        <v>29</v>
      </c>
      <c r="B193" s="6">
        <v>44753</v>
      </c>
      <c r="C193" s="39">
        <f t="shared" si="6"/>
        <v>0</v>
      </c>
      <c r="D193" s="1"/>
      <c r="E193" s="1"/>
      <c r="F193" s="1"/>
      <c r="G193" s="1"/>
      <c r="H193" s="1"/>
      <c r="I193" s="1">
        <v>0</v>
      </c>
      <c r="J193" s="1"/>
      <c r="K193" s="1"/>
    </row>
    <row r="194" spans="1:11" s="4" customFormat="1" x14ac:dyDescent="0.25">
      <c r="A194" s="1">
        <f t="shared" si="5"/>
        <v>29</v>
      </c>
      <c r="B194" s="6">
        <v>44754</v>
      </c>
      <c r="C194" s="39">
        <f t="shared" si="6"/>
        <v>0</v>
      </c>
      <c r="D194" s="1"/>
      <c r="E194" s="1"/>
      <c r="F194" s="1"/>
      <c r="G194" s="1"/>
      <c r="H194" s="1"/>
      <c r="I194" s="1">
        <v>0</v>
      </c>
      <c r="J194" s="1"/>
      <c r="K194" s="1"/>
    </row>
    <row r="195" spans="1:11" s="4" customFormat="1" x14ac:dyDescent="0.25">
      <c r="A195" s="1">
        <f t="shared" ref="A195:A258" si="7">WEEKNUM($B195,2)</f>
        <v>29</v>
      </c>
      <c r="B195" s="6">
        <v>44755</v>
      </c>
      <c r="C195" s="39">
        <f t="shared" ref="C195:C258" si="8">AVERAGE(D195:K195)</f>
        <v>0</v>
      </c>
      <c r="D195" s="1"/>
      <c r="E195" s="1"/>
      <c r="F195" s="1"/>
      <c r="G195" s="1"/>
      <c r="H195" s="1"/>
      <c r="I195" s="1">
        <v>0</v>
      </c>
      <c r="J195" s="1"/>
      <c r="K195" s="1"/>
    </row>
    <row r="196" spans="1:11" s="4" customFormat="1" x14ac:dyDescent="0.25">
      <c r="A196" s="1">
        <f t="shared" si="7"/>
        <v>29</v>
      </c>
      <c r="B196" s="6">
        <v>44756</v>
      </c>
      <c r="C196" s="39">
        <f t="shared" si="8"/>
        <v>0</v>
      </c>
      <c r="D196" s="1"/>
      <c r="E196" s="1"/>
      <c r="F196" s="1"/>
      <c r="G196" s="1"/>
      <c r="H196" s="1"/>
      <c r="I196" s="1">
        <v>0</v>
      </c>
      <c r="J196" s="1"/>
      <c r="K196" s="1"/>
    </row>
    <row r="197" spans="1:11" s="4" customFormat="1" x14ac:dyDescent="0.25">
      <c r="A197" s="1">
        <f t="shared" si="7"/>
        <v>29</v>
      </c>
      <c r="B197" s="6">
        <v>44757</v>
      </c>
      <c r="C197" s="39">
        <f t="shared" si="8"/>
        <v>11.272857142857143</v>
      </c>
      <c r="D197" s="1">
        <v>13</v>
      </c>
      <c r="E197" s="1">
        <v>11</v>
      </c>
      <c r="F197" s="1">
        <v>5.5</v>
      </c>
      <c r="G197" s="1">
        <v>11</v>
      </c>
      <c r="H197" s="1"/>
      <c r="I197" s="1">
        <v>8.5</v>
      </c>
      <c r="J197" s="1">
        <v>9.91</v>
      </c>
      <c r="K197" s="1">
        <v>20</v>
      </c>
    </row>
    <row r="198" spans="1:11" s="4" customFormat="1" x14ac:dyDescent="0.25">
      <c r="A198" s="1">
        <f t="shared" si="7"/>
        <v>29</v>
      </c>
      <c r="B198" s="6">
        <v>44758</v>
      </c>
      <c r="C198" s="39">
        <f t="shared" si="8"/>
        <v>12.522857142857145</v>
      </c>
      <c r="D198" s="1">
        <v>9.5</v>
      </c>
      <c r="E198" s="1">
        <v>16</v>
      </c>
      <c r="F198" s="1">
        <v>5</v>
      </c>
      <c r="G198" s="1">
        <v>18</v>
      </c>
      <c r="H198" s="1"/>
      <c r="I198" s="1">
        <v>13.25</v>
      </c>
      <c r="J198" s="1">
        <v>14.71</v>
      </c>
      <c r="K198" s="1">
        <v>11.2</v>
      </c>
    </row>
    <row r="199" spans="1:11" s="4" customFormat="1" x14ac:dyDescent="0.25">
      <c r="A199" s="1">
        <f t="shared" si="7"/>
        <v>29</v>
      </c>
      <c r="B199" s="6">
        <v>44759</v>
      </c>
      <c r="C199" s="39">
        <f t="shared" si="8"/>
        <v>2.2342857142857144</v>
      </c>
      <c r="D199" s="1">
        <v>2</v>
      </c>
      <c r="E199" s="1">
        <v>2</v>
      </c>
      <c r="F199" s="1">
        <v>2</v>
      </c>
      <c r="G199" s="1">
        <v>2</v>
      </c>
      <c r="H199" s="1"/>
      <c r="I199" s="1">
        <v>2.25</v>
      </c>
      <c r="J199" s="1">
        <v>2.59</v>
      </c>
      <c r="K199" s="1">
        <v>2.8</v>
      </c>
    </row>
    <row r="200" spans="1:11" s="4" customFormat="1" x14ac:dyDescent="0.25">
      <c r="A200" s="1">
        <f t="shared" si="7"/>
        <v>30</v>
      </c>
      <c r="B200" s="6">
        <v>44760</v>
      </c>
      <c r="C200" s="39">
        <f t="shared" si="8"/>
        <v>14.700000000000001</v>
      </c>
      <c r="D200" s="1">
        <v>18</v>
      </c>
      <c r="E200" s="1">
        <v>14</v>
      </c>
      <c r="F200" s="1">
        <v>0.5</v>
      </c>
      <c r="G200" s="1">
        <v>17</v>
      </c>
      <c r="H200" s="1"/>
      <c r="I200" s="1">
        <v>14</v>
      </c>
      <c r="J200" s="1">
        <v>16</v>
      </c>
      <c r="K200" s="1">
        <v>23.4</v>
      </c>
    </row>
    <row r="201" spans="1:11" s="4" customFormat="1" x14ac:dyDescent="0.25">
      <c r="A201" s="1">
        <f t="shared" si="7"/>
        <v>30</v>
      </c>
      <c r="B201" s="6">
        <v>44761</v>
      </c>
      <c r="C201" s="39">
        <f t="shared" si="8"/>
        <v>0.19428571428571431</v>
      </c>
      <c r="D201" s="1">
        <v>0.1</v>
      </c>
      <c r="E201" s="1">
        <v>0.2</v>
      </c>
      <c r="F201" s="1">
        <v>0.5</v>
      </c>
      <c r="G201" s="1">
        <v>0.15</v>
      </c>
      <c r="H201" s="1"/>
      <c r="I201" s="1">
        <v>0.2</v>
      </c>
      <c r="J201" s="1">
        <v>0.21</v>
      </c>
      <c r="K201" s="1">
        <v>0</v>
      </c>
    </row>
    <row r="202" spans="1:11" s="4" customFormat="1" x14ac:dyDescent="0.25">
      <c r="A202" s="1">
        <f t="shared" si="7"/>
        <v>30</v>
      </c>
      <c r="B202" s="6">
        <v>44762</v>
      </c>
      <c r="C202" s="39">
        <f t="shared" si="8"/>
        <v>0.43142857142857144</v>
      </c>
      <c r="D202" s="1">
        <v>0.8</v>
      </c>
      <c r="E202" s="1">
        <v>0.4</v>
      </c>
      <c r="F202" s="1">
        <v>0</v>
      </c>
      <c r="G202" s="1">
        <v>0.13</v>
      </c>
      <c r="H202" s="1"/>
      <c r="I202" s="1">
        <v>0.1</v>
      </c>
      <c r="J202" s="1">
        <v>0.99</v>
      </c>
      <c r="K202" s="1">
        <v>0.6</v>
      </c>
    </row>
    <row r="203" spans="1:11" s="4" customFormat="1" x14ac:dyDescent="0.25">
      <c r="A203" s="1">
        <f t="shared" si="7"/>
        <v>30</v>
      </c>
      <c r="B203" s="6">
        <v>44763</v>
      </c>
      <c r="C203" s="39">
        <f t="shared" si="8"/>
        <v>0</v>
      </c>
      <c r="D203" s="1"/>
      <c r="E203" s="1"/>
      <c r="F203" s="1"/>
      <c r="G203" s="1"/>
      <c r="H203" s="1"/>
      <c r="I203" s="1">
        <v>0</v>
      </c>
      <c r="J203" s="1"/>
      <c r="K203" s="1"/>
    </row>
    <row r="204" spans="1:11" s="4" customFormat="1" x14ac:dyDescent="0.25">
      <c r="A204" s="1">
        <f t="shared" si="7"/>
        <v>30</v>
      </c>
      <c r="B204" s="6">
        <v>44764</v>
      </c>
      <c r="C204" s="39">
        <f t="shared" si="8"/>
        <v>0</v>
      </c>
      <c r="D204" s="1"/>
      <c r="E204" s="1"/>
      <c r="F204" s="1"/>
      <c r="G204" s="1"/>
      <c r="H204" s="1"/>
      <c r="I204" s="1">
        <v>0</v>
      </c>
      <c r="J204" s="1"/>
      <c r="K204" s="1"/>
    </row>
    <row r="205" spans="1:11" s="4" customFormat="1" x14ac:dyDescent="0.25">
      <c r="A205" s="1">
        <f t="shared" si="7"/>
        <v>30</v>
      </c>
      <c r="B205" s="6">
        <v>44765</v>
      </c>
      <c r="C205" s="39">
        <f t="shared" si="8"/>
        <v>24.169999999999998</v>
      </c>
      <c r="D205" s="1">
        <v>21.8</v>
      </c>
      <c r="E205" s="1">
        <v>26</v>
      </c>
      <c r="F205" s="1">
        <v>21</v>
      </c>
      <c r="G205" s="1">
        <v>24</v>
      </c>
      <c r="H205" s="1"/>
      <c r="I205" s="1">
        <v>24</v>
      </c>
      <c r="J205" s="1">
        <v>26.39</v>
      </c>
      <c r="K205" s="1">
        <v>26</v>
      </c>
    </row>
    <row r="206" spans="1:11" s="4" customFormat="1" x14ac:dyDescent="0.25">
      <c r="A206" s="1">
        <f t="shared" si="7"/>
        <v>30</v>
      </c>
      <c r="B206" s="6">
        <v>44766</v>
      </c>
      <c r="C206" s="39">
        <f t="shared" si="8"/>
        <v>3.8585714285714281</v>
      </c>
      <c r="D206" s="1">
        <v>2.6</v>
      </c>
      <c r="E206" s="1">
        <v>2.8</v>
      </c>
      <c r="F206" s="1">
        <v>8</v>
      </c>
      <c r="G206" s="1">
        <v>5</v>
      </c>
      <c r="H206" s="1"/>
      <c r="I206" s="1">
        <v>3.4</v>
      </c>
      <c r="J206" s="1">
        <v>3.61</v>
      </c>
      <c r="K206" s="1">
        <v>1.6</v>
      </c>
    </row>
    <row r="207" spans="1:11" s="4" customFormat="1" x14ac:dyDescent="0.25">
      <c r="A207" s="1">
        <f t="shared" si="7"/>
        <v>31</v>
      </c>
      <c r="B207" s="6">
        <v>44767</v>
      </c>
      <c r="C207" s="39">
        <f t="shared" si="8"/>
        <v>0</v>
      </c>
      <c r="D207" s="1"/>
      <c r="E207" s="1"/>
      <c r="F207" s="1"/>
      <c r="G207" s="1"/>
      <c r="H207" s="1"/>
      <c r="I207" s="1">
        <v>0</v>
      </c>
      <c r="J207" s="1"/>
      <c r="K207" s="1"/>
    </row>
    <row r="208" spans="1:11" s="4" customFormat="1" x14ac:dyDescent="0.25">
      <c r="A208" s="1">
        <f t="shared" si="7"/>
        <v>31</v>
      </c>
      <c r="B208" s="6">
        <v>44768</v>
      </c>
      <c r="C208" s="39">
        <f t="shared" si="8"/>
        <v>15.141428571428571</v>
      </c>
      <c r="D208" s="1">
        <v>11.6</v>
      </c>
      <c r="E208" s="1">
        <v>15</v>
      </c>
      <c r="F208" s="1">
        <v>22</v>
      </c>
      <c r="G208" s="1">
        <v>15</v>
      </c>
      <c r="H208" s="1"/>
      <c r="I208" s="1">
        <v>13.5</v>
      </c>
      <c r="J208" s="1">
        <v>13.49</v>
      </c>
      <c r="K208" s="1">
        <v>15.4</v>
      </c>
    </row>
    <row r="209" spans="1:12" s="4" customFormat="1" x14ac:dyDescent="0.25">
      <c r="A209" s="1">
        <f t="shared" si="7"/>
        <v>31</v>
      </c>
      <c r="B209" s="6">
        <v>44769</v>
      </c>
      <c r="C209" s="39">
        <f t="shared" si="8"/>
        <v>1.4585714285714284</v>
      </c>
      <c r="D209" s="1">
        <v>1.5</v>
      </c>
      <c r="E209" s="1">
        <v>1.8</v>
      </c>
      <c r="F209" s="1">
        <v>0.2</v>
      </c>
      <c r="G209" s="1">
        <v>1.5</v>
      </c>
      <c r="H209" s="1"/>
      <c r="I209" s="1">
        <v>2</v>
      </c>
      <c r="J209" s="1">
        <v>2.0099999999999998</v>
      </c>
      <c r="K209" s="1">
        <v>1.2</v>
      </c>
    </row>
    <row r="210" spans="1:12" s="4" customFormat="1" x14ac:dyDescent="0.25">
      <c r="A210" s="1">
        <f t="shared" si="7"/>
        <v>31</v>
      </c>
      <c r="B210" s="6">
        <v>44770</v>
      </c>
      <c r="C210" s="39">
        <f t="shared" si="8"/>
        <v>2.6857142857142859</v>
      </c>
      <c r="D210" s="1">
        <v>0</v>
      </c>
      <c r="E210" s="1">
        <v>2.4</v>
      </c>
      <c r="F210" s="1">
        <v>5</v>
      </c>
      <c r="G210" s="1">
        <v>0</v>
      </c>
      <c r="H210" s="1"/>
      <c r="I210" s="1">
        <v>0.5</v>
      </c>
      <c r="J210" s="1">
        <v>0.3</v>
      </c>
      <c r="K210" s="1">
        <v>10.6</v>
      </c>
    </row>
    <row r="211" spans="1:12" s="4" customFormat="1" x14ac:dyDescent="0.25">
      <c r="A211" s="1">
        <f t="shared" si="7"/>
        <v>31</v>
      </c>
      <c r="B211" s="6">
        <v>44771</v>
      </c>
      <c r="C211" s="39">
        <f t="shared" si="8"/>
        <v>1.7557142857142856</v>
      </c>
      <c r="D211" s="1">
        <v>0.5</v>
      </c>
      <c r="E211" s="1">
        <v>2.8</v>
      </c>
      <c r="F211" s="1">
        <v>2.5</v>
      </c>
      <c r="G211" s="1">
        <v>0.6</v>
      </c>
      <c r="H211" s="1"/>
      <c r="I211" s="1">
        <v>2</v>
      </c>
      <c r="J211" s="1">
        <v>2.4900000000000002</v>
      </c>
      <c r="K211" s="1">
        <v>1.4</v>
      </c>
    </row>
    <row r="212" spans="1:12" s="4" customFormat="1" x14ac:dyDescent="0.25">
      <c r="A212" s="18"/>
      <c r="B212" s="6">
        <v>44772</v>
      </c>
      <c r="C212" s="39">
        <f t="shared" si="8"/>
        <v>0</v>
      </c>
      <c r="D212" s="1"/>
      <c r="E212" s="1"/>
      <c r="F212" s="1"/>
      <c r="G212" s="1"/>
      <c r="H212" s="1"/>
      <c r="I212" s="1">
        <v>0</v>
      </c>
      <c r="J212" s="1"/>
      <c r="K212" s="1"/>
    </row>
    <row r="213" spans="1:12" s="25" customFormat="1" ht="15.75" thickBot="1" x14ac:dyDescent="0.3">
      <c r="A213" s="22">
        <f t="shared" si="7"/>
        <v>31</v>
      </c>
      <c r="B213" s="6">
        <v>44773</v>
      </c>
      <c r="C213" s="34">
        <f t="shared" si="8"/>
        <v>17.698571428571427</v>
      </c>
      <c r="D213" s="1">
        <v>18.5</v>
      </c>
      <c r="E213" s="1">
        <v>17</v>
      </c>
      <c r="F213" s="1">
        <v>24</v>
      </c>
      <c r="G213" s="1">
        <v>17.5</v>
      </c>
      <c r="H213" s="1"/>
      <c r="I213" s="1">
        <v>13</v>
      </c>
      <c r="J213" s="1">
        <v>15.49</v>
      </c>
      <c r="K213" s="1">
        <v>18.399999999999999</v>
      </c>
      <c r="L213" s="24">
        <f>SUM(C183:C213)</f>
        <v>172.44666666666666</v>
      </c>
    </row>
    <row r="214" spans="1:12" s="4" customFormat="1" x14ac:dyDescent="0.25">
      <c r="A214" s="1">
        <f t="shared" si="7"/>
        <v>32</v>
      </c>
      <c r="B214" s="6">
        <v>44774</v>
      </c>
      <c r="C214" s="39">
        <f t="shared" si="8"/>
        <v>18.931428571428572</v>
      </c>
      <c r="D214" s="1">
        <v>18</v>
      </c>
      <c r="E214" s="1">
        <v>27</v>
      </c>
      <c r="F214" s="1">
        <v>8.5</v>
      </c>
      <c r="G214" s="1">
        <v>15</v>
      </c>
      <c r="H214" s="1"/>
      <c r="I214" s="1">
        <v>15</v>
      </c>
      <c r="J214" s="1">
        <v>17.22</v>
      </c>
      <c r="K214" s="1">
        <v>31.8</v>
      </c>
    </row>
    <row r="215" spans="1:12" s="4" customFormat="1" x14ac:dyDescent="0.25">
      <c r="A215" s="1">
        <f t="shared" si="7"/>
        <v>32</v>
      </c>
      <c r="B215" s="6">
        <v>44775</v>
      </c>
      <c r="C215" s="39">
        <f t="shared" si="8"/>
        <v>0</v>
      </c>
      <c r="D215" s="1">
        <v>0</v>
      </c>
      <c r="E215" s="1"/>
      <c r="F215" s="1"/>
      <c r="G215" s="1"/>
      <c r="H215" s="1"/>
      <c r="I215" s="1"/>
      <c r="J215" s="1"/>
      <c r="K215" s="1"/>
    </row>
    <row r="216" spans="1:12" s="4" customFormat="1" x14ac:dyDescent="0.25">
      <c r="A216" s="1">
        <f t="shared" si="7"/>
        <v>32</v>
      </c>
      <c r="B216" s="6">
        <v>44776</v>
      </c>
      <c r="C216" s="39">
        <f t="shared" si="8"/>
        <v>0</v>
      </c>
      <c r="D216" s="1">
        <v>0</v>
      </c>
      <c r="E216" s="1"/>
      <c r="F216" s="1"/>
      <c r="G216" s="1"/>
      <c r="H216" s="1"/>
      <c r="I216" s="1"/>
      <c r="J216" s="1"/>
      <c r="K216" s="1"/>
    </row>
    <row r="217" spans="1:12" s="4" customFormat="1" x14ac:dyDescent="0.25">
      <c r="A217" s="1">
        <f t="shared" si="7"/>
        <v>32</v>
      </c>
      <c r="B217" s="6">
        <v>44777</v>
      </c>
      <c r="C217" s="39">
        <f t="shared" si="8"/>
        <v>0</v>
      </c>
      <c r="D217" s="1">
        <v>0</v>
      </c>
      <c r="E217" s="1"/>
      <c r="F217" s="1"/>
      <c r="G217" s="1"/>
      <c r="H217" s="1"/>
      <c r="I217" s="1"/>
      <c r="J217" s="1"/>
      <c r="K217" s="1"/>
    </row>
    <row r="218" spans="1:12" s="4" customFormat="1" x14ac:dyDescent="0.25">
      <c r="A218" s="1">
        <f t="shared" si="7"/>
        <v>32</v>
      </c>
      <c r="B218" s="6">
        <v>44778</v>
      </c>
      <c r="C218" s="39">
        <f t="shared" si="8"/>
        <v>0.22857142857142859</v>
      </c>
      <c r="D218" s="1">
        <v>0.5</v>
      </c>
      <c r="E218" s="1">
        <v>0.25</v>
      </c>
      <c r="F218" s="1">
        <v>0</v>
      </c>
      <c r="G218" s="1">
        <v>0.25</v>
      </c>
      <c r="H218" s="1"/>
      <c r="I218" s="1">
        <v>0</v>
      </c>
      <c r="J218" s="1">
        <v>0</v>
      </c>
      <c r="K218" s="1">
        <v>0.6</v>
      </c>
    </row>
    <row r="219" spans="1:12" s="4" customFormat="1" x14ac:dyDescent="0.25">
      <c r="A219" s="1">
        <f t="shared" si="7"/>
        <v>32</v>
      </c>
      <c r="B219" s="6">
        <v>44779</v>
      </c>
      <c r="C219" s="39">
        <f t="shared" si="8"/>
        <v>0</v>
      </c>
      <c r="D219" s="1">
        <v>0</v>
      </c>
      <c r="E219" s="1"/>
      <c r="F219" s="1"/>
      <c r="G219" s="1"/>
      <c r="H219" s="1"/>
      <c r="I219" s="1"/>
      <c r="J219" s="1"/>
      <c r="K219" s="1"/>
    </row>
    <row r="220" spans="1:12" s="4" customFormat="1" x14ac:dyDescent="0.25">
      <c r="A220" s="1">
        <f t="shared" si="7"/>
        <v>32</v>
      </c>
      <c r="B220" s="6">
        <v>44780</v>
      </c>
      <c r="C220" s="39">
        <f t="shared" si="8"/>
        <v>0</v>
      </c>
      <c r="D220" s="1">
        <v>0</v>
      </c>
      <c r="E220" s="1"/>
      <c r="F220" s="1"/>
      <c r="G220" s="1"/>
      <c r="H220" s="1"/>
      <c r="I220" s="1"/>
      <c r="J220" s="1"/>
      <c r="K220" s="1"/>
    </row>
    <row r="221" spans="1:12" s="4" customFormat="1" x14ac:dyDescent="0.25">
      <c r="A221" s="1">
        <f t="shared" si="7"/>
        <v>33</v>
      </c>
      <c r="B221" s="6">
        <v>44781</v>
      </c>
      <c r="C221" s="39">
        <f t="shared" si="8"/>
        <v>8.4157142857142855</v>
      </c>
      <c r="D221" s="1">
        <v>15</v>
      </c>
      <c r="E221" s="1">
        <v>7.5</v>
      </c>
      <c r="F221" s="1">
        <v>4</v>
      </c>
      <c r="G221" s="1">
        <v>9.5</v>
      </c>
      <c r="H221" s="1"/>
      <c r="I221" s="1">
        <v>7.5</v>
      </c>
      <c r="J221" s="1">
        <v>8.41</v>
      </c>
      <c r="K221" s="1">
        <v>7</v>
      </c>
    </row>
    <row r="222" spans="1:12" s="4" customFormat="1" x14ac:dyDescent="0.25">
      <c r="A222" s="1">
        <f t="shared" si="7"/>
        <v>33</v>
      </c>
      <c r="B222" s="6">
        <v>44782</v>
      </c>
      <c r="C222" s="39">
        <f t="shared" si="8"/>
        <v>0</v>
      </c>
      <c r="D222" s="1">
        <v>0</v>
      </c>
      <c r="E222" s="1"/>
      <c r="F222" s="1"/>
      <c r="G222" s="1"/>
      <c r="H222" s="1"/>
      <c r="I222" s="1"/>
      <c r="J222" s="1"/>
      <c r="K222" s="1"/>
    </row>
    <row r="223" spans="1:12" s="4" customFormat="1" x14ac:dyDescent="0.25">
      <c r="A223" s="1">
        <f t="shared" si="7"/>
        <v>33</v>
      </c>
      <c r="B223" s="6">
        <v>44783</v>
      </c>
      <c r="C223" s="39">
        <f t="shared" si="8"/>
        <v>0</v>
      </c>
      <c r="D223" s="1">
        <v>0</v>
      </c>
      <c r="E223" s="1"/>
      <c r="F223" s="1"/>
      <c r="G223" s="1"/>
      <c r="H223" s="1"/>
      <c r="I223" s="1"/>
      <c r="J223" s="1"/>
      <c r="K223" s="1"/>
      <c r="L223" s="21"/>
    </row>
    <row r="224" spans="1:12" s="4" customFormat="1" x14ac:dyDescent="0.25">
      <c r="A224" s="1">
        <f t="shared" si="7"/>
        <v>33</v>
      </c>
      <c r="B224" s="6">
        <v>44784</v>
      </c>
      <c r="C224" s="39">
        <f t="shared" si="8"/>
        <v>84.742857142857147</v>
      </c>
      <c r="D224" s="1">
        <v>84.5</v>
      </c>
      <c r="E224" s="1">
        <v>85</v>
      </c>
      <c r="F224" s="1">
        <v>10.5</v>
      </c>
      <c r="G224" s="1">
        <v>112</v>
      </c>
      <c r="H224" s="1"/>
      <c r="I224" s="1">
        <v>96</v>
      </c>
      <c r="J224" s="1">
        <v>111.2</v>
      </c>
      <c r="K224" s="1">
        <v>94</v>
      </c>
    </row>
    <row r="225" spans="1:11" s="4" customFormat="1" x14ac:dyDescent="0.25">
      <c r="A225" s="1">
        <f t="shared" si="7"/>
        <v>33</v>
      </c>
      <c r="B225" s="6">
        <v>44785</v>
      </c>
      <c r="C225" s="39">
        <f t="shared" si="8"/>
        <v>0.38571428571428573</v>
      </c>
      <c r="D225" s="1">
        <v>0.5</v>
      </c>
      <c r="E225" s="1">
        <v>0.5</v>
      </c>
      <c r="F225" s="1">
        <v>0.25</v>
      </c>
      <c r="G225" s="1">
        <v>0.75</v>
      </c>
      <c r="H225" s="1"/>
      <c r="I225" s="1">
        <v>0.5</v>
      </c>
      <c r="J225" s="1">
        <v>0</v>
      </c>
      <c r="K225" s="1">
        <v>0.2</v>
      </c>
    </row>
    <row r="226" spans="1:11" s="4" customFormat="1" x14ac:dyDescent="0.25">
      <c r="A226" s="1">
        <f t="shared" si="7"/>
        <v>33</v>
      </c>
      <c r="B226" s="6">
        <v>44786</v>
      </c>
      <c r="C226" s="39">
        <f t="shared" si="8"/>
        <v>23.928571428571427</v>
      </c>
      <c r="D226" s="1">
        <v>21</v>
      </c>
      <c r="E226" s="1">
        <v>29</v>
      </c>
      <c r="F226" s="1">
        <v>18</v>
      </c>
      <c r="G226" s="1">
        <v>22.5</v>
      </c>
      <c r="H226" s="1"/>
      <c r="I226" s="1">
        <v>25.5</v>
      </c>
      <c r="J226" s="1">
        <v>30.3</v>
      </c>
      <c r="K226" s="1">
        <v>21.2</v>
      </c>
    </row>
    <row r="227" spans="1:11" s="4" customFormat="1" x14ac:dyDescent="0.25">
      <c r="A227" s="1">
        <f t="shared" si="7"/>
        <v>33</v>
      </c>
      <c r="B227" s="6">
        <v>44787</v>
      </c>
      <c r="C227" s="39">
        <f t="shared" si="8"/>
        <v>5.5985714285714279</v>
      </c>
      <c r="D227" s="1">
        <v>7</v>
      </c>
      <c r="E227" s="1">
        <v>7.5</v>
      </c>
      <c r="F227" s="1">
        <v>2.5</v>
      </c>
      <c r="G227" s="1">
        <v>5</v>
      </c>
      <c r="H227" s="1"/>
      <c r="I227" s="1">
        <v>4</v>
      </c>
      <c r="J227" s="1">
        <v>5.59</v>
      </c>
      <c r="K227" s="1">
        <v>7.6</v>
      </c>
    </row>
    <row r="228" spans="1:11" s="4" customFormat="1" x14ac:dyDescent="0.25">
      <c r="A228" s="1">
        <f t="shared" si="7"/>
        <v>34</v>
      </c>
      <c r="B228" s="6">
        <v>44788</v>
      </c>
      <c r="C228" s="39">
        <f t="shared" si="8"/>
        <v>99.455714285714279</v>
      </c>
      <c r="D228" s="1">
        <v>110.5</v>
      </c>
      <c r="E228" s="1">
        <v>92</v>
      </c>
      <c r="F228" s="1">
        <v>77</v>
      </c>
      <c r="G228" s="1">
        <v>117</v>
      </c>
      <c r="H228" s="1"/>
      <c r="I228" s="1">
        <v>93</v>
      </c>
      <c r="J228" s="1">
        <v>115.29</v>
      </c>
      <c r="K228" s="1">
        <v>91.4</v>
      </c>
    </row>
    <row r="229" spans="1:11" s="4" customFormat="1" x14ac:dyDescent="0.25">
      <c r="A229" s="1">
        <f t="shared" si="7"/>
        <v>34</v>
      </c>
      <c r="B229" s="6">
        <v>44789</v>
      </c>
      <c r="C229" s="39">
        <f t="shared" si="8"/>
        <v>13.604285714285714</v>
      </c>
      <c r="D229" s="1">
        <v>11</v>
      </c>
      <c r="E229" s="1">
        <v>12</v>
      </c>
      <c r="F229" s="1">
        <v>9.5</v>
      </c>
      <c r="G229" s="1">
        <v>14</v>
      </c>
      <c r="H229" s="1"/>
      <c r="I229" s="1">
        <v>13.5</v>
      </c>
      <c r="J229" s="1">
        <v>19.03</v>
      </c>
      <c r="K229" s="1">
        <v>16.2</v>
      </c>
    </row>
    <row r="230" spans="1:11" s="4" customFormat="1" x14ac:dyDescent="0.25">
      <c r="A230" s="1">
        <f t="shared" si="7"/>
        <v>34</v>
      </c>
      <c r="B230" s="6">
        <v>44790</v>
      </c>
      <c r="C230" s="39">
        <f t="shared" si="8"/>
        <v>0.8928571428571429</v>
      </c>
      <c r="D230" s="1">
        <v>1.5</v>
      </c>
      <c r="E230" s="1">
        <v>1.25</v>
      </c>
      <c r="F230" s="1">
        <v>0.25</v>
      </c>
      <c r="G230" s="1">
        <v>1.75</v>
      </c>
      <c r="H230" s="1"/>
      <c r="I230" s="1">
        <v>0.5</v>
      </c>
      <c r="J230" s="1">
        <v>0</v>
      </c>
      <c r="K230" s="1">
        <v>1</v>
      </c>
    </row>
    <row r="231" spans="1:11" s="4" customFormat="1" x14ac:dyDescent="0.25">
      <c r="A231" s="1">
        <f t="shared" si="7"/>
        <v>34</v>
      </c>
      <c r="B231" s="6">
        <v>44791</v>
      </c>
      <c r="C231" s="39">
        <f t="shared" si="8"/>
        <v>0</v>
      </c>
      <c r="D231" s="1">
        <v>0</v>
      </c>
      <c r="E231" s="1"/>
      <c r="F231" s="1"/>
      <c r="G231" s="1"/>
      <c r="H231" s="1"/>
      <c r="I231" s="1"/>
      <c r="J231" s="1"/>
      <c r="K231" s="1"/>
    </row>
    <row r="232" spans="1:11" s="4" customFormat="1" x14ac:dyDescent="0.25">
      <c r="A232" s="1">
        <f t="shared" si="7"/>
        <v>34</v>
      </c>
      <c r="B232" s="6">
        <v>44792</v>
      </c>
      <c r="C232" s="39">
        <f t="shared" si="8"/>
        <v>11.228571428571428</v>
      </c>
      <c r="D232" s="1">
        <v>12.5</v>
      </c>
      <c r="E232" s="1">
        <v>15</v>
      </c>
      <c r="F232" s="1">
        <v>20</v>
      </c>
      <c r="G232" s="1">
        <v>8</v>
      </c>
      <c r="H232" s="1"/>
      <c r="I232" s="1">
        <v>9.5</v>
      </c>
      <c r="J232" s="1">
        <v>6.6</v>
      </c>
      <c r="K232" s="1">
        <v>7</v>
      </c>
    </row>
    <row r="233" spans="1:11" s="4" customFormat="1" x14ac:dyDescent="0.25">
      <c r="A233" s="1">
        <f t="shared" si="7"/>
        <v>34</v>
      </c>
      <c r="B233" s="6">
        <v>44793</v>
      </c>
      <c r="C233" s="39">
        <f t="shared" si="8"/>
        <v>6.3985714285714286</v>
      </c>
      <c r="D233" s="1">
        <v>4.5</v>
      </c>
      <c r="E233" s="1">
        <v>3</v>
      </c>
      <c r="F233" s="1">
        <v>2.5</v>
      </c>
      <c r="G233" s="1">
        <v>8.5</v>
      </c>
      <c r="H233" s="1"/>
      <c r="I233" s="1">
        <v>6</v>
      </c>
      <c r="J233" s="1">
        <v>10.69</v>
      </c>
      <c r="K233" s="1">
        <v>9.6</v>
      </c>
    </row>
    <row r="234" spans="1:11" s="4" customFormat="1" x14ac:dyDescent="0.25">
      <c r="A234" s="1">
        <f t="shared" si="7"/>
        <v>34</v>
      </c>
      <c r="B234" s="6">
        <v>44794</v>
      </c>
      <c r="C234" s="39">
        <f t="shared" si="8"/>
        <v>0</v>
      </c>
      <c r="D234" s="1">
        <v>0</v>
      </c>
      <c r="E234" s="1"/>
      <c r="F234" s="1"/>
      <c r="G234" s="1"/>
      <c r="H234" s="1"/>
      <c r="I234" s="1"/>
      <c r="J234" s="1"/>
      <c r="K234" s="1"/>
    </row>
    <row r="235" spans="1:11" s="4" customFormat="1" x14ac:dyDescent="0.25">
      <c r="A235" s="1">
        <f t="shared" si="7"/>
        <v>35</v>
      </c>
      <c r="B235" s="6">
        <v>44795</v>
      </c>
      <c r="C235" s="39">
        <f t="shared" si="8"/>
        <v>0</v>
      </c>
      <c r="D235" s="1">
        <v>0</v>
      </c>
      <c r="E235" s="1"/>
      <c r="F235" s="1"/>
      <c r="G235" s="1"/>
      <c r="H235" s="1"/>
      <c r="I235" s="1"/>
      <c r="J235" s="1"/>
      <c r="K235" s="1"/>
    </row>
    <row r="236" spans="1:11" s="4" customFormat="1" x14ac:dyDescent="0.25">
      <c r="A236" s="1">
        <f t="shared" si="7"/>
        <v>35</v>
      </c>
      <c r="B236" s="6">
        <v>44796</v>
      </c>
      <c r="C236" s="39">
        <f t="shared" si="8"/>
        <v>17.76857142857143</v>
      </c>
      <c r="D236" s="1">
        <v>16.5</v>
      </c>
      <c r="E236" s="1">
        <v>15</v>
      </c>
      <c r="F236" s="1">
        <v>25</v>
      </c>
      <c r="G236" s="1">
        <v>21.5</v>
      </c>
      <c r="H236" s="1"/>
      <c r="I236" s="1">
        <v>15</v>
      </c>
      <c r="J236" s="1">
        <v>17.98</v>
      </c>
      <c r="K236" s="1">
        <v>13.4</v>
      </c>
    </row>
    <row r="237" spans="1:11" s="4" customFormat="1" x14ac:dyDescent="0.25">
      <c r="A237" s="1">
        <f t="shared" si="7"/>
        <v>35</v>
      </c>
      <c r="B237" s="6">
        <v>44797</v>
      </c>
      <c r="C237" s="39">
        <f t="shared" si="8"/>
        <v>0</v>
      </c>
      <c r="D237" s="1">
        <v>0</v>
      </c>
      <c r="E237" s="1"/>
      <c r="F237" s="1"/>
      <c r="G237" s="1"/>
      <c r="H237" s="1"/>
      <c r="I237" s="1"/>
      <c r="J237" s="1"/>
      <c r="K237" s="1"/>
    </row>
    <row r="238" spans="1:11" s="4" customFormat="1" x14ac:dyDescent="0.25">
      <c r="A238" s="1">
        <f t="shared" si="7"/>
        <v>35</v>
      </c>
      <c r="B238" s="6">
        <v>44798</v>
      </c>
      <c r="C238" s="39">
        <f t="shared" si="8"/>
        <v>0</v>
      </c>
      <c r="D238" s="1">
        <v>0</v>
      </c>
      <c r="E238" s="1"/>
      <c r="F238" s="1"/>
      <c r="G238" s="1"/>
      <c r="H238" s="1"/>
      <c r="I238" s="1"/>
      <c r="J238" s="1"/>
      <c r="K238" s="1"/>
    </row>
    <row r="239" spans="1:11" s="4" customFormat="1" x14ac:dyDescent="0.25">
      <c r="A239" s="1">
        <f t="shared" si="7"/>
        <v>35</v>
      </c>
      <c r="B239" s="6">
        <v>44799</v>
      </c>
      <c r="C239" s="39">
        <f t="shared" si="8"/>
        <v>0.5</v>
      </c>
      <c r="D239" s="1">
        <v>0.5</v>
      </c>
      <c r="E239" s="1">
        <v>0.5</v>
      </c>
      <c r="F239" s="1">
        <v>1</v>
      </c>
      <c r="G239" s="1">
        <v>0.5</v>
      </c>
      <c r="H239" s="1"/>
      <c r="I239" s="1">
        <v>0.5</v>
      </c>
      <c r="J239" s="1">
        <v>0.3</v>
      </c>
      <c r="K239" s="1">
        <v>0.2</v>
      </c>
    </row>
    <row r="240" spans="1:11" s="4" customFormat="1" x14ac:dyDescent="0.25">
      <c r="A240" s="1">
        <f t="shared" si="7"/>
        <v>35</v>
      </c>
      <c r="B240" s="6">
        <v>44800</v>
      </c>
      <c r="C240" s="39">
        <f t="shared" si="8"/>
        <v>19.328571428571429</v>
      </c>
      <c r="D240" s="1">
        <v>23</v>
      </c>
      <c r="E240" s="1">
        <v>18</v>
      </c>
      <c r="F240" s="1">
        <v>11</v>
      </c>
      <c r="G240" s="1">
        <v>21</v>
      </c>
      <c r="H240" s="1"/>
      <c r="I240" s="1">
        <v>22</v>
      </c>
      <c r="J240" s="1">
        <v>26.9</v>
      </c>
      <c r="K240" s="1">
        <v>13.4</v>
      </c>
    </row>
    <row r="241" spans="1:15" s="4" customFormat="1" x14ac:dyDescent="0.25">
      <c r="A241" s="1">
        <f t="shared" si="7"/>
        <v>35</v>
      </c>
      <c r="B241" s="6">
        <v>44801</v>
      </c>
      <c r="C241" s="39">
        <f t="shared" si="8"/>
        <v>25.983333333333334</v>
      </c>
      <c r="D241" s="1">
        <v>24.5</v>
      </c>
      <c r="E241" s="1">
        <v>23</v>
      </c>
      <c r="F241" s="1">
        <v>46</v>
      </c>
      <c r="G241" s="1">
        <v>17.5</v>
      </c>
      <c r="H241" s="1"/>
      <c r="I241" s="1">
        <v>21</v>
      </c>
      <c r="J241" s="1">
        <v>23.9</v>
      </c>
      <c r="K241" s="1"/>
    </row>
    <row r="242" spans="1:15" s="4" customFormat="1" x14ac:dyDescent="0.25">
      <c r="A242" s="1">
        <f t="shared" si="7"/>
        <v>36</v>
      </c>
      <c r="B242" s="6">
        <v>44802</v>
      </c>
      <c r="C242" s="39">
        <f t="shared" si="8"/>
        <v>1.8014285714285716</v>
      </c>
      <c r="D242" s="1">
        <v>2</v>
      </c>
      <c r="E242" s="1">
        <v>2.9</v>
      </c>
      <c r="F242" s="1">
        <v>3.6</v>
      </c>
      <c r="G242" s="1">
        <v>1.9</v>
      </c>
      <c r="H242" s="1"/>
      <c r="I242" s="1">
        <v>0.9</v>
      </c>
      <c r="J242" s="1">
        <v>0.71</v>
      </c>
      <c r="K242" s="1">
        <v>0.6</v>
      </c>
    </row>
    <row r="243" spans="1:15" s="4" customFormat="1" x14ac:dyDescent="0.25">
      <c r="A243" s="18"/>
      <c r="B243" s="6">
        <v>44803</v>
      </c>
      <c r="C243" s="39">
        <f t="shared" si="8"/>
        <v>0</v>
      </c>
      <c r="D243" s="1">
        <v>0</v>
      </c>
      <c r="E243" s="1"/>
      <c r="F243" s="1"/>
      <c r="G243" s="1"/>
      <c r="H243" s="1"/>
      <c r="I243" s="1"/>
      <c r="J243" s="1"/>
      <c r="K243" s="1"/>
    </row>
    <row r="244" spans="1:15" s="25" customFormat="1" ht="15.75" thickBot="1" x14ac:dyDescent="0.3">
      <c r="A244" s="22">
        <f t="shared" si="7"/>
        <v>36</v>
      </c>
      <c r="B244" s="6">
        <v>44804</v>
      </c>
      <c r="C244" s="40">
        <f t="shared" si="8"/>
        <v>69.285714285714292</v>
      </c>
      <c r="D244" s="1">
        <v>73</v>
      </c>
      <c r="E244" s="1">
        <v>62</v>
      </c>
      <c r="F244" s="1">
        <v>91</v>
      </c>
      <c r="G244" s="1">
        <v>69</v>
      </c>
      <c r="H244" s="1"/>
      <c r="I244" s="1">
        <v>68</v>
      </c>
      <c r="J244" s="1">
        <v>85.6</v>
      </c>
      <c r="K244" s="1">
        <v>36.4</v>
      </c>
      <c r="L244" s="24">
        <f>SUM(C214:C244)</f>
        <v>408.47904761904766</v>
      </c>
    </row>
    <row r="245" spans="1:15" s="4" customFormat="1" x14ac:dyDescent="0.25">
      <c r="A245" s="1">
        <f t="shared" si="7"/>
        <v>36</v>
      </c>
      <c r="B245" s="6">
        <v>44805</v>
      </c>
      <c r="C245" s="39">
        <f t="shared" si="8"/>
        <v>23.514285714285712</v>
      </c>
      <c r="D245" s="30">
        <v>12.5</v>
      </c>
      <c r="E245" s="30">
        <v>22</v>
      </c>
      <c r="F245" s="30">
        <v>9</v>
      </c>
      <c r="G245" s="30">
        <v>14</v>
      </c>
      <c r="H245" s="1"/>
      <c r="I245" s="30">
        <v>23</v>
      </c>
      <c r="J245" s="30">
        <v>46.5</v>
      </c>
      <c r="K245" s="30">
        <v>37.6</v>
      </c>
    </row>
    <row r="246" spans="1:15" s="4" customFormat="1" x14ac:dyDescent="0.25">
      <c r="A246" s="1">
        <f t="shared" si="7"/>
        <v>36</v>
      </c>
      <c r="B246" s="6">
        <v>44806</v>
      </c>
      <c r="C246" s="39">
        <f t="shared" si="8"/>
        <v>0.21428571428571427</v>
      </c>
      <c r="D246" s="30">
        <v>0</v>
      </c>
      <c r="E246" s="30">
        <v>0</v>
      </c>
      <c r="F246" s="30">
        <v>0</v>
      </c>
      <c r="G246" s="30">
        <v>0</v>
      </c>
      <c r="H246" s="1"/>
      <c r="I246" s="30">
        <v>0</v>
      </c>
      <c r="J246" s="30">
        <v>1.3</v>
      </c>
      <c r="K246" s="30">
        <v>0.2</v>
      </c>
    </row>
    <row r="247" spans="1:15" s="4" customFormat="1" x14ac:dyDescent="0.25">
      <c r="A247" s="1">
        <f t="shared" si="7"/>
        <v>36</v>
      </c>
      <c r="B247" s="6">
        <v>44807</v>
      </c>
      <c r="C247" s="39">
        <f t="shared" si="8"/>
        <v>0</v>
      </c>
      <c r="D247" s="30">
        <v>0</v>
      </c>
      <c r="E247" s="30"/>
      <c r="F247" s="30"/>
      <c r="G247" s="30"/>
      <c r="H247" s="1"/>
      <c r="I247" s="30"/>
      <c r="J247" s="30"/>
      <c r="K247" s="30"/>
    </row>
    <row r="248" spans="1:15" s="4" customFormat="1" x14ac:dyDescent="0.25">
      <c r="A248" s="1">
        <f t="shared" si="7"/>
        <v>36</v>
      </c>
      <c r="B248" s="6">
        <v>44808</v>
      </c>
      <c r="C248" s="39">
        <f t="shared" si="8"/>
        <v>0</v>
      </c>
      <c r="D248" s="30">
        <v>0</v>
      </c>
      <c r="E248" s="30"/>
      <c r="F248" s="30"/>
      <c r="G248" s="30"/>
      <c r="H248" s="1"/>
      <c r="I248" s="30"/>
      <c r="J248" s="30"/>
      <c r="K248" s="30"/>
    </row>
    <row r="249" spans="1:15" s="4" customFormat="1" x14ac:dyDescent="0.25">
      <c r="A249" s="1">
        <f t="shared" si="7"/>
        <v>37</v>
      </c>
      <c r="B249" s="6">
        <v>44809</v>
      </c>
      <c r="C249" s="39">
        <f t="shared" si="8"/>
        <v>2.8857142857142857</v>
      </c>
      <c r="D249" s="30">
        <v>3.5</v>
      </c>
      <c r="E249" s="30">
        <v>2.5</v>
      </c>
      <c r="F249" s="30">
        <v>3.5</v>
      </c>
      <c r="G249" s="30">
        <v>4</v>
      </c>
      <c r="H249" s="1"/>
      <c r="I249" s="30">
        <v>2.5</v>
      </c>
      <c r="J249" s="30">
        <v>0</v>
      </c>
      <c r="K249" s="30">
        <v>4.2</v>
      </c>
    </row>
    <row r="250" spans="1:15" s="4" customFormat="1" x14ac:dyDescent="0.25">
      <c r="A250" s="1">
        <f t="shared" si="7"/>
        <v>37</v>
      </c>
      <c r="B250" s="6">
        <v>44810</v>
      </c>
      <c r="C250" s="39">
        <f t="shared" si="8"/>
        <v>0</v>
      </c>
      <c r="D250" s="30">
        <v>0</v>
      </c>
      <c r="E250" s="30"/>
      <c r="F250" s="30"/>
      <c r="G250" s="30"/>
      <c r="H250" s="1"/>
      <c r="I250" s="30"/>
      <c r="J250" s="30"/>
      <c r="K250" s="30"/>
      <c r="O250" s="21"/>
    </row>
    <row r="251" spans="1:15" s="4" customFormat="1" x14ac:dyDescent="0.25">
      <c r="A251" s="1">
        <f t="shared" si="7"/>
        <v>37</v>
      </c>
      <c r="B251" s="6">
        <v>44811</v>
      </c>
      <c r="C251" s="39">
        <f t="shared" si="8"/>
        <v>0.8999999999999998</v>
      </c>
      <c r="D251" s="30">
        <v>0.3</v>
      </c>
      <c r="E251" s="30">
        <v>3</v>
      </c>
      <c r="F251" s="30">
        <v>0.6</v>
      </c>
      <c r="G251" s="30">
        <v>0.2</v>
      </c>
      <c r="H251" s="1"/>
      <c r="I251" s="30">
        <v>1.1000000000000001</v>
      </c>
      <c r="J251" s="30">
        <v>0.3</v>
      </c>
      <c r="K251" s="30">
        <v>0.8</v>
      </c>
      <c r="L251" s="21"/>
    </row>
    <row r="252" spans="1:15" s="4" customFormat="1" x14ac:dyDescent="0.25">
      <c r="A252" s="1">
        <f t="shared" si="7"/>
        <v>37</v>
      </c>
      <c r="B252" s="6">
        <v>44812</v>
      </c>
      <c r="C252" s="39">
        <f t="shared" si="8"/>
        <v>1.5</v>
      </c>
      <c r="D252" s="30">
        <v>1.6</v>
      </c>
      <c r="E252" s="30">
        <v>1</v>
      </c>
      <c r="F252" s="30">
        <v>3.4</v>
      </c>
      <c r="G252" s="30">
        <v>2.9</v>
      </c>
      <c r="H252" s="1"/>
      <c r="I252" s="30">
        <v>1.4</v>
      </c>
      <c r="J252" s="30">
        <v>0.2</v>
      </c>
      <c r="K252" s="30">
        <v>0</v>
      </c>
    </row>
    <row r="253" spans="1:15" s="4" customFormat="1" x14ac:dyDescent="0.25">
      <c r="A253" s="1">
        <f t="shared" si="7"/>
        <v>37</v>
      </c>
      <c r="B253" s="6">
        <v>44813</v>
      </c>
      <c r="C253" s="39">
        <f t="shared" si="8"/>
        <v>14.283333333333333</v>
      </c>
      <c r="D253" s="30">
        <v>4.5</v>
      </c>
      <c r="E253" s="30">
        <v>11</v>
      </c>
      <c r="F253" s="30">
        <v>20</v>
      </c>
      <c r="G253" s="30">
        <v>9</v>
      </c>
      <c r="H253" s="1"/>
      <c r="I253" s="30">
        <v>30</v>
      </c>
      <c r="J253" s="1"/>
      <c r="K253" s="30">
        <v>11.2</v>
      </c>
    </row>
    <row r="254" spans="1:15" s="4" customFormat="1" x14ac:dyDescent="0.25">
      <c r="A254" s="1">
        <f t="shared" si="7"/>
        <v>37</v>
      </c>
      <c r="B254" s="6">
        <v>44814</v>
      </c>
      <c r="C254" s="39">
        <f t="shared" si="8"/>
        <v>7.5666666666666664</v>
      </c>
      <c r="D254" s="30">
        <v>6</v>
      </c>
      <c r="E254" s="30">
        <v>7</v>
      </c>
      <c r="F254" s="30">
        <v>13</v>
      </c>
      <c r="G254" s="30">
        <v>4.5</v>
      </c>
      <c r="H254" s="1"/>
      <c r="I254" s="30">
        <v>5.5</v>
      </c>
      <c r="J254" s="1"/>
      <c r="K254" s="30">
        <v>9.4</v>
      </c>
    </row>
    <row r="255" spans="1:15" s="4" customFormat="1" x14ac:dyDescent="0.25">
      <c r="A255" s="1">
        <f t="shared" si="7"/>
        <v>37</v>
      </c>
      <c r="B255" s="6">
        <v>44815</v>
      </c>
      <c r="C255" s="39">
        <f t="shared" si="8"/>
        <v>0</v>
      </c>
      <c r="D255" s="30">
        <v>0</v>
      </c>
      <c r="E255" s="30"/>
      <c r="F255" s="30"/>
      <c r="G255" s="30"/>
      <c r="H255" s="1"/>
      <c r="I255" s="30"/>
      <c r="J255" s="1"/>
      <c r="K255" s="30"/>
    </row>
    <row r="256" spans="1:15" s="4" customFormat="1" x14ac:dyDescent="0.25">
      <c r="A256" s="1">
        <f t="shared" si="7"/>
        <v>38</v>
      </c>
      <c r="B256" s="6">
        <v>44816</v>
      </c>
      <c r="C256" s="39">
        <f t="shared" si="8"/>
        <v>6.55</v>
      </c>
      <c r="D256" s="30">
        <v>5</v>
      </c>
      <c r="E256" s="30">
        <v>6</v>
      </c>
      <c r="F256" s="30">
        <v>5</v>
      </c>
      <c r="G256" s="30">
        <v>6</v>
      </c>
      <c r="H256" s="1"/>
      <c r="I256" s="30">
        <v>8.5</v>
      </c>
      <c r="J256" s="1"/>
      <c r="K256" s="30">
        <v>8.8000000000000007</v>
      </c>
    </row>
    <row r="257" spans="1:11" s="4" customFormat="1" x14ac:dyDescent="0.25">
      <c r="A257" s="1">
        <f t="shared" si="7"/>
        <v>38</v>
      </c>
      <c r="B257" s="6">
        <v>44817</v>
      </c>
      <c r="C257" s="39">
        <f t="shared" si="8"/>
        <v>5.1499999999999995</v>
      </c>
      <c r="D257" s="30">
        <v>4</v>
      </c>
      <c r="E257" s="30">
        <v>6</v>
      </c>
      <c r="F257" s="30">
        <v>6.5</v>
      </c>
      <c r="G257" s="30">
        <v>4.5</v>
      </c>
      <c r="H257" s="1"/>
      <c r="I257" s="30">
        <v>5.5</v>
      </c>
      <c r="J257" s="1"/>
      <c r="K257" s="30">
        <v>4.4000000000000004</v>
      </c>
    </row>
    <row r="258" spans="1:11" s="4" customFormat="1" x14ac:dyDescent="0.25">
      <c r="A258" s="1">
        <f t="shared" si="7"/>
        <v>38</v>
      </c>
      <c r="B258" s="6">
        <v>44818</v>
      </c>
      <c r="C258" s="39">
        <f t="shared" si="8"/>
        <v>0</v>
      </c>
      <c r="D258" s="30">
        <v>0</v>
      </c>
      <c r="E258" s="30"/>
      <c r="F258" s="30"/>
      <c r="G258" s="30"/>
      <c r="H258" s="1"/>
      <c r="I258" s="30"/>
      <c r="J258" s="1"/>
      <c r="K258" s="30"/>
    </row>
    <row r="259" spans="1:11" s="4" customFormat="1" x14ac:dyDescent="0.25">
      <c r="A259" s="1">
        <f t="shared" ref="A259:A322" si="9">WEEKNUM($B259,2)</f>
        <v>38</v>
      </c>
      <c r="B259" s="6">
        <v>44819</v>
      </c>
      <c r="C259" s="39">
        <f t="shared" ref="C259:C322" si="10">AVERAGE(D259:K259)</f>
        <v>27.083333333333332</v>
      </c>
      <c r="D259" s="30">
        <v>27.5</v>
      </c>
      <c r="E259" s="30">
        <v>23</v>
      </c>
      <c r="F259" s="30">
        <v>35</v>
      </c>
      <c r="G259" s="30">
        <v>31</v>
      </c>
      <c r="H259" s="1"/>
      <c r="I259" s="30">
        <v>25</v>
      </c>
      <c r="J259" s="1"/>
      <c r="K259" s="30">
        <v>21</v>
      </c>
    </row>
    <row r="260" spans="1:11" s="4" customFormat="1" x14ac:dyDescent="0.25">
      <c r="A260" s="1">
        <f t="shared" si="9"/>
        <v>38</v>
      </c>
      <c r="B260" s="6">
        <v>44820</v>
      </c>
      <c r="C260" s="39">
        <f t="shared" si="10"/>
        <v>1.9333333333333333</v>
      </c>
      <c r="D260" s="30">
        <v>1</v>
      </c>
      <c r="E260" s="30">
        <v>2</v>
      </c>
      <c r="F260" s="30">
        <v>1.7</v>
      </c>
      <c r="G260" s="30">
        <v>1.9</v>
      </c>
      <c r="H260" s="1"/>
      <c r="I260" s="30">
        <v>2.6</v>
      </c>
      <c r="J260" s="1"/>
      <c r="K260" s="30">
        <v>2.4</v>
      </c>
    </row>
    <row r="261" spans="1:11" s="4" customFormat="1" x14ac:dyDescent="0.25">
      <c r="A261" s="1">
        <f t="shared" si="9"/>
        <v>38</v>
      </c>
      <c r="B261" s="6">
        <v>44821</v>
      </c>
      <c r="C261" s="39">
        <f t="shared" si="10"/>
        <v>0.33333333333333331</v>
      </c>
      <c r="D261" s="30">
        <v>0.4</v>
      </c>
      <c r="E261" s="30">
        <v>0.2</v>
      </c>
      <c r="F261" s="30">
        <v>0.8</v>
      </c>
      <c r="G261" s="30">
        <v>0.2</v>
      </c>
      <c r="H261" s="1"/>
      <c r="I261" s="30">
        <v>0.2</v>
      </c>
      <c r="J261" s="1"/>
      <c r="K261" s="30">
        <v>0.2</v>
      </c>
    </row>
    <row r="262" spans="1:11" s="4" customFormat="1" x14ac:dyDescent="0.25">
      <c r="A262" s="1">
        <f t="shared" si="9"/>
        <v>38</v>
      </c>
      <c r="B262" s="6">
        <v>44822</v>
      </c>
      <c r="C262" s="39">
        <f t="shared" si="10"/>
        <v>0</v>
      </c>
      <c r="D262" s="30">
        <v>0</v>
      </c>
      <c r="E262" s="30"/>
      <c r="F262" s="30"/>
      <c r="G262" s="30"/>
      <c r="H262" s="1"/>
      <c r="I262" s="30"/>
      <c r="J262" s="30"/>
      <c r="K262" s="30"/>
    </row>
    <row r="263" spans="1:11" s="4" customFormat="1" x14ac:dyDescent="0.25">
      <c r="A263" s="1">
        <f t="shared" si="9"/>
        <v>39</v>
      </c>
      <c r="B263" s="6">
        <v>44823</v>
      </c>
      <c r="C263" s="39">
        <f t="shared" si="10"/>
        <v>11.528571428571428</v>
      </c>
      <c r="D263" s="30">
        <v>9</v>
      </c>
      <c r="E263" s="30">
        <v>15</v>
      </c>
      <c r="F263" s="30">
        <v>9</v>
      </c>
      <c r="G263" s="30">
        <v>9</v>
      </c>
      <c r="H263" s="1"/>
      <c r="I263" s="30">
        <v>10</v>
      </c>
      <c r="J263" s="30">
        <v>12.7</v>
      </c>
      <c r="K263" s="30">
        <v>16</v>
      </c>
    </row>
    <row r="264" spans="1:11" s="4" customFormat="1" x14ac:dyDescent="0.25">
      <c r="A264" s="1">
        <f t="shared" si="9"/>
        <v>39</v>
      </c>
      <c r="B264" s="6">
        <v>44824</v>
      </c>
      <c r="C264" s="39">
        <f t="shared" si="10"/>
        <v>13.028571428571428</v>
      </c>
      <c r="D264" s="30">
        <v>12</v>
      </c>
      <c r="E264" s="30">
        <v>13</v>
      </c>
      <c r="F264" s="30">
        <v>23</v>
      </c>
      <c r="G264" s="30">
        <v>9</v>
      </c>
      <c r="H264" s="1"/>
      <c r="I264" s="30">
        <v>15</v>
      </c>
      <c r="J264" s="30">
        <v>14</v>
      </c>
      <c r="K264" s="30">
        <v>5.2</v>
      </c>
    </row>
    <row r="265" spans="1:11" s="4" customFormat="1" x14ac:dyDescent="0.25">
      <c r="A265" s="1">
        <f t="shared" si="9"/>
        <v>39</v>
      </c>
      <c r="B265" s="6">
        <v>44825</v>
      </c>
      <c r="C265" s="39">
        <f t="shared" si="10"/>
        <v>9.9428571428571413</v>
      </c>
      <c r="D265" s="30">
        <v>8</v>
      </c>
      <c r="E265" s="30">
        <v>6</v>
      </c>
      <c r="F265" s="30">
        <v>4</v>
      </c>
      <c r="G265" s="30">
        <v>12.5</v>
      </c>
      <c r="H265" s="1"/>
      <c r="I265" s="30">
        <v>10.5</v>
      </c>
      <c r="J265" s="30">
        <v>15.8</v>
      </c>
      <c r="K265" s="30">
        <v>12.8</v>
      </c>
    </row>
    <row r="266" spans="1:11" s="4" customFormat="1" x14ac:dyDescent="0.25">
      <c r="A266" s="1">
        <f t="shared" si="9"/>
        <v>39</v>
      </c>
      <c r="B266" s="6">
        <v>44826</v>
      </c>
      <c r="C266" s="39">
        <f t="shared" si="10"/>
        <v>16.399999999999999</v>
      </c>
      <c r="D266" s="30">
        <v>19.5</v>
      </c>
      <c r="E266" s="30">
        <v>16</v>
      </c>
      <c r="F266" s="30">
        <v>23</v>
      </c>
      <c r="G266" s="30">
        <v>17</v>
      </c>
      <c r="H266" s="1"/>
      <c r="I266" s="30">
        <v>13</v>
      </c>
      <c r="J266" s="30">
        <v>15.7</v>
      </c>
      <c r="K266" s="30">
        <v>10.6</v>
      </c>
    </row>
    <row r="267" spans="1:11" s="4" customFormat="1" x14ac:dyDescent="0.25">
      <c r="A267" s="1">
        <f t="shared" si="9"/>
        <v>39</v>
      </c>
      <c r="B267" s="6">
        <v>44827</v>
      </c>
      <c r="C267" s="39">
        <f t="shared" si="10"/>
        <v>0</v>
      </c>
      <c r="D267" s="30">
        <v>0</v>
      </c>
      <c r="E267" s="30"/>
      <c r="F267" s="30"/>
      <c r="G267" s="30"/>
      <c r="H267" s="1"/>
      <c r="I267" s="30"/>
      <c r="J267" s="30"/>
      <c r="K267" s="30"/>
    </row>
    <row r="268" spans="1:11" s="4" customFormat="1" x14ac:dyDescent="0.25">
      <c r="A268" s="1">
        <f t="shared" si="9"/>
        <v>39</v>
      </c>
      <c r="B268" s="6">
        <v>44828</v>
      </c>
      <c r="C268" s="39">
        <f t="shared" si="10"/>
        <v>0</v>
      </c>
      <c r="D268" s="30">
        <v>0</v>
      </c>
      <c r="E268" s="30"/>
      <c r="F268" s="30"/>
      <c r="G268" s="30"/>
      <c r="H268" s="1"/>
      <c r="I268" s="30"/>
      <c r="J268" s="30"/>
      <c r="K268" s="30"/>
    </row>
    <row r="269" spans="1:11" s="4" customFormat="1" x14ac:dyDescent="0.25">
      <c r="A269" s="1">
        <f t="shared" si="9"/>
        <v>39</v>
      </c>
      <c r="B269" s="6">
        <v>44829</v>
      </c>
      <c r="C269" s="39">
        <f t="shared" si="10"/>
        <v>20.864285714285717</v>
      </c>
      <c r="D269" s="30">
        <v>24.5</v>
      </c>
      <c r="E269" s="30">
        <v>19</v>
      </c>
      <c r="F269" s="30">
        <v>1.25</v>
      </c>
      <c r="G269" s="30">
        <v>30</v>
      </c>
      <c r="H269" s="1"/>
      <c r="I269" s="30">
        <v>21</v>
      </c>
      <c r="J269" s="30">
        <v>28.7</v>
      </c>
      <c r="K269" s="30">
        <v>21.6</v>
      </c>
    </row>
    <row r="270" spans="1:11" s="4" customFormat="1" ht="15.75" x14ac:dyDescent="0.25">
      <c r="A270" s="1">
        <f t="shared" si="9"/>
        <v>40</v>
      </c>
      <c r="B270" s="6">
        <v>44830</v>
      </c>
      <c r="C270" s="39">
        <f t="shared" si="10"/>
        <v>8.3857142857142861</v>
      </c>
      <c r="D270" s="36">
        <v>9</v>
      </c>
      <c r="E270" s="36">
        <v>24</v>
      </c>
      <c r="F270" s="36">
        <v>7.5</v>
      </c>
      <c r="G270" s="36">
        <v>8.5</v>
      </c>
      <c r="H270" s="1"/>
      <c r="I270" s="36">
        <v>3</v>
      </c>
      <c r="J270" s="36">
        <v>3.1</v>
      </c>
      <c r="K270" s="36">
        <v>3.6</v>
      </c>
    </row>
    <row r="271" spans="1:11" s="4" customFormat="1" ht="15.75" x14ac:dyDescent="0.25">
      <c r="A271" s="1">
        <f t="shared" si="9"/>
        <v>40</v>
      </c>
      <c r="B271" s="6">
        <v>44831</v>
      </c>
      <c r="C271" s="39">
        <f t="shared" si="10"/>
        <v>6.7628571428571425</v>
      </c>
      <c r="D271" s="36">
        <v>0</v>
      </c>
      <c r="E271" s="36">
        <v>26</v>
      </c>
      <c r="F271" s="36">
        <v>11</v>
      </c>
      <c r="G271" s="36">
        <v>0.5</v>
      </c>
      <c r="H271" s="1"/>
      <c r="I271" s="36">
        <v>5.25</v>
      </c>
      <c r="J271" s="36">
        <v>2.19</v>
      </c>
      <c r="K271" s="36">
        <v>2.4</v>
      </c>
    </row>
    <row r="272" spans="1:11" s="4" customFormat="1" x14ac:dyDescent="0.25">
      <c r="A272" s="1">
        <f t="shared" si="9"/>
        <v>40</v>
      </c>
      <c r="B272" s="6">
        <v>44832</v>
      </c>
      <c r="C272" s="39">
        <f t="shared" si="10"/>
        <v>2.0642857142857145</v>
      </c>
      <c r="D272" s="1">
        <v>3</v>
      </c>
      <c r="E272" s="1">
        <v>1.5</v>
      </c>
      <c r="F272" s="1">
        <v>2</v>
      </c>
      <c r="G272" s="1">
        <v>3</v>
      </c>
      <c r="H272" s="1"/>
      <c r="I272" s="1">
        <v>1.75</v>
      </c>
      <c r="J272" s="1">
        <v>1.8</v>
      </c>
      <c r="K272" s="1">
        <v>1.4</v>
      </c>
    </row>
    <row r="273" spans="1:13" s="4" customFormat="1" x14ac:dyDescent="0.25">
      <c r="A273" s="18"/>
      <c r="B273" s="6">
        <v>44833</v>
      </c>
      <c r="C273" s="39">
        <f t="shared" si="10"/>
        <v>0</v>
      </c>
      <c r="D273" s="1">
        <v>0</v>
      </c>
      <c r="E273" s="1"/>
      <c r="F273" s="1"/>
      <c r="G273" s="1"/>
      <c r="H273" s="1"/>
      <c r="I273" s="1"/>
      <c r="J273" s="1"/>
      <c r="K273" s="1"/>
    </row>
    <row r="274" spans="1:13" s="25" customFormat="1" ht="15.75" thickBot="1" x14ac:dyDescent="0.3">
      <c r="A274" s="22">
        <f t="shared" si="9"/>
        <v>40</v>
      </c>
      <c r="B274" s="6">
        <v>44834</v>
      </c>
      <c r="C274" s="40">
        <f t="shared" si="10"/>
        <v>15.172857142857142</v>
      </c>
      <c r="D274" s="1">
        <v>15</v>
      </c>
      <c r="E274" s="1">
        <v>17</v>
      </c>
      <c r="F274" s="1">
        <v>4</v>
      </c>
      <c r="G274" s="1">
        <v>17</v>
      </c>
      <c r="H274" s="1"/>
      <c r="I274" s="1">
        <v>19</v>
      </c>
      <c r="J274" s="1">
        <v>22.61</v>
      </c>
      <c r="K274" s="1">
        <v>11.6</v>
      </c>
      <c r="L274" s="24">
        <f>SUM(C245:C274)</f>
        <v>196.06428571428569</v>
      </c>
      <c r="M274" s="31"/>
    </row>
    <row r="275" spans="1:13" s="4" customFormat="1" ht="15.75" x14ac:dyDescent="0.25">
      <c r="A275" s="1">
        <f t="shared" si="9"/>
        <v>40</v>
      </c>
      <c r="B275" s="6">
        <v>44835</v>
      </c>
      <c r="C275" s="39">
        <f t="shared" si="10"/>
        <v>7.7457142857142856</v>
      </c>
      <c r="D275" s="36">
        <v>5</v>
      </c>
      <c r="E275" s="36">
        <v>1.5</v>
      </c>
      <c r="F275" s="36">
        <v>13</v>
      </c>
      <c r="G275" s="36">
        <v>7</v>
      </c>
      <c r="H275" s="36"/>
      <c r="I275" s="36">
        <v>7.72</v>
      </c>
      <c r="J275" s="36">
        <v>6</v>
      </c>
      <c r="K275" s="36">
        <v>14</v>
      </c>
    </row>
    <row r="276" spans="1:13" s="4" customFormat="1" ht="15.75" x14ac:dyDescent="0.25">
      <c r="A276" s="1">
        <f t="shared" si="9"/>
        <v>40</v>
      </c>
      <c r="B276" s="6">
        <v>44836</v>
      </c>
      <c r="C276" s="39">
        <f t="shared" si="10"/>
        <v>0</v>
      </c>
      <c r="D276" s="36">
        <v>0</v>
      </c>
      <c r="E276" s="36">
        <v>0</v>
      </c>
      <c r="F276" s="36">
        <v>0</v>
      </c>
      <c r="G276" s="36">
        <v>0</v>
      </c>
      <c r="H276" s="36"/>
      <c r="I276" s="36">
        <v>0</v>
      </c>
      <c r="J276" s="36">
        <v>0</v>
      </c>
      <c r="K276" s="36">
        <v>0</v>
      </c>
    </row>
    <row r="277" spans="1:13" s="4" customFormat="1" ht="15.75" x14ac:dyDescent="0.25">
      <c r="A277" s="1">
        <f t="shared" si="9"/>
        <v>41</v>
      </c>
      <c r="B277" s="6">
        <v>44837</v>
      </c>
      <c r="C277" s="39">
        <f t="shared" si="10"/>
        <v>0</v>
      </c>
      <c r="D277" s="36">
        <v>0</v>
      </c>
      <c r="E277" s="36">
        <v>0</v>
      </c>
      <c r="F277" s="36">
        <v>0</v>
      </c>
      <c r="G277" s="36">
        <v>0</v>
      </c>
      <c r="H277" s="36"/>
      <c r="I277" s="36">
        <v>0</v>
      </c>
      <c r="J277" s="36">
        <v>0</v>
      </c>
      <c r="K277" s="36">
        <v>0</v>
      </c>
    </row>
    <row r="278" spans="1:13" s="4" customFormat="1" ht="15.75" x14ac:dyDescent="0.25">
      <c r="A278" s="1">
        <f t="shared" si="9"/>
        <v>41</v>
      </c>
      <c r="B278" s="6">
        <v>44838</v>
      </c>
      <c r="C278" s="39">
        <f t="shared" si="10"/>
        <v>0.64428571428571424</v>
      </c>
      <c r="D278" s="36">
        <v>0.5</v>
      </c>
      <c r="E278" s="36">
        <v>0.5</v>
      </c>
      <c r="F278" s="36">
        <v>2.25</v>
      </c>
      <c r="G278" s="36">
        <v>0.25</v>
      </c>
      <c r="H278" s="36"/>
      <c r="I278" s="36">
        <v>0.51</v>
      </c>
      <c r="J278" s="36">
        <v>0.5</v>
      </c>
      <c r="K278" s="36">
        <v>0</v>
      </c>
    </row>
    <row r="279" spans="1:13" s="4" customFormat="1" ht="15.75" x14ac:dyDescent="0.25">
      <c r="A279" s="1">
        <f t="shared" si="9"/>
        <v>41</v>
      </c>
      <c r="B279" s="6">
        <v>44839</v>
      </c>
      <c r="C279" s="39">
        <f t="shared" si="10"/>
        <v>8.8942857142857132</v>
      </c>
      <c r="D279" s="36">
        <v>15</v>
      </c>
      <c r="E279" s="36">
        <v>5</v>
      </c>
      <c r="F279" s="36">
        <v>1.75</v>
      </c>
      <c r="G279" s="36">
        <v>14</v>
      </c>
      <c r="H279" s="36"/>
      <c r="I279" s="36">
        <v>11.61</v>
      </c>
      <c r="J279" s="36">
        <v>9.5</v>
      </c>
      <c r="K279" s="36">
        <v>5.4</v>
      </c>
    </row>
    <row r="280" spans="1:13" s="4" customFormat="1" ht="15.75" x14ac:dyDescent="0.25">
      <c r="A280" s="1">
        <f t="shared" si="9"/>
        <v>41</v>
      </c>
      <c r="B280" s="6">
        <v>44840</v>
      </c>
      <c r="C280" s="39">
        <f t="shared" si="10"/>
        <v>0</v>
      </c>
      <c r="D280" s="36">
        <v>0</v>
      </c>
      <c r="E280" s="36">
        <v>0</v>
      </c>
      <c r="F280" s="36">
        <v>0</v>
      </c>
      <c r="G280" s="36">
        <v>0</v>
      </c>
      <c r="H280" s="36"/>
      <c r="I280" s="36">
        <v>0</v>
      </c>
      <c r="J280" s="36">
        <v>0</v>
      </c>
      <c r="K280" s="36">
        <v>0</v>
      </c>
    </row>
    <row r="281" spans="1:13" s="4" customFormat="1" ht="15.75" x14ac:dyDescent="0.25">
      <c r="A281" s="1">
        <f t="shared" si="9"/>
        <v>41</v>
      </c>
      <c r="B281" s="6">
        <v>44841</v>
      </c>
      <c r="C281" s="39">
        <f t="shared" si="10"/>
        <v>0</v>
      </c>
      <c r="D281" s="36">
        <v>0</v>
      </c>
      <c r="E281" s="36">
        <v>0</v>
      </c>
      <c r="F281" s="36">
        <v>0</v>
      </c>
      <c r="G281" s="36">
        <v>0</v>
      </c>
      <c r="H281" s="36"/>
      <c r="I281" s="36">
        <v>0</v>
      </c>
      <c r="J281" s="36">
        <v>0</v>
      </c>
      <c r="K281" s="36">
        <v>0</v>
      </c>
    </row>
    <row r="282" spans="1:13" s="4" customFormat="1" ht="15.75" x14ac:dyDescent="0.25">
      <c r="A282" s="1">
        <f t="shared" si="9"/>
        <v>41</v>
      </c>
      <c r="B282" s="6">
        <v>44842</v>
      </c>
      <c r="C282" s="39">
        <f t="shared" si="10"/>
        <v>0.38571428571428568</v>
      </c>
      <c r="D282" s="36">
        <v>0.5</v>
      </c>
      <c r="E282" s="36">
        <v>0.5</v>
      </c>
      <c r="F282" s="36">
        <v>0.25</v>
      </c>
      <c r="G282" s="36">
        <v>0.25</v>
      </c>
      <c r="H282" s="36"/>
      <c r="I282" s="36">
        <v>0.3</v>
      </c>
      <c r="J282" s="36">
        <v>0.5</v>
      </c>
      <c r="K282" s="36">
        <v>0.4</v>
      </c>
    </row>
    <row r="283" spans="1:13" s="4" customFormat="1" ht="15.75" x14ac:dyDescent="0.25">
      <c r="A283" s="1">
        <f t="shared" si="9"/>
        <v>41</v>
      </c>
      <c r="B283" s="6">
        <v>44843</v>
      </c>
      <c r="C283" s="39">
        <f t="shared" si="10"/>
        <v>0</v>
      </c>
      <c r="D283" s="36">
        <v>0</v>
      </c>
      <c r="E283" s="36">
        <v>0</v>
      </c>
      <c r="F283" s="36">
        <v>0</v>
      </c>
      <c r="G283" s="36">
        <v>0</v>
      </c>
      <c r="H283" s="36"/>
      <c r="I283" s="36">
        <v>0</v>
      </c>
      <c r="J283" s="36">
        <v>0</v>
      </c>
      <c r="K283" s="36">
        <v>0</v>
      </c>
    </row>
    <row r="284" spans="1:13" s="4" customFormat="1" ht="15.75" x14ac:dyDescent="0.25">
      <c r="A284" s="1">
        <f t="shared" si="9"/>
        <v>42</v>
      </c>
      <c r="B284" s="6">
        <v>44844</v>
      </c>
      <c r="C284" s="39">
        <f t="shared" si="10"/>
        <v>0</v>
      </c>
      <c r="D284" s="36">
        <v>0</v>
      </c>
      <c r="E284" s="36">
        <v>0</v>
      </c>
      <c r="F284" s="36">
        <v>0</v>
      </c>
      <c r="G284" s="36">
        <v>0</v>
      </c>
      <c r="H284" s="36"/>
      <c r="I284" s="36">
        <v>0</v>
      </c>
      <c r="J284" s="36">
        <v>0</v>
      </c>
      <c r="K284" s="36">
        <v>0</v>
      </c>
    </row>
    <row r="285" spans="1:13" s="4" customFormat="1" ht="15.75" x14ac:dyDescent="0.25">
      <c r="A285" s="1">
        <f t="shared" si="9"/>
        <v>42</v>
      </c>
      <c r="B285" s="6">
        <v>44845</v>
      </c>
      <c r="C285" s="39">
        <f t="shared" si="10"/>
        <v>0</v>
      </c>
      <c r="D285" s="36">
        <v>0</v>
      </c>
      <c r="E285" s="36">
        <v>0</v>
      </c>
      <c r="F285" s="36">
        <v>0</v>
      </c>
      <c r="G285" s="36">
        <v>0</v>
      </c>
      <c r="H285" s="36"/>
      <c r="I285" s="36">
        <v>0</v>
      </c>
      <c r="J285" s="36">
        <v>0</v>
      </c>
      <c r="K285" s="36">
        <v>0</v>
      </c>
    </row>
    <row r="286" spans="1:13" s="4" customFormat="1" ht="15.75" x14ac:dyDescent="0.25">
      <c r="A286" s="1">
        <f t="shared" si="9"/>
        <v>42</v>
      </c>
      <c r="B286" s="6">
        <v>44846</v>
      </c>
      <c r="C286" s="39">
        <f t="shared" si="10"/>
        <v>0</v>
      </c>
      <c r="D286" s="36">
        <v>0</v>
      </c>
      <c r="E286" s="36">
        <v>0</v>
      </c>
      <c r="F286" s="36">
        <v>0</v>
      </c>
      <c r="G286" s="36">
        <v>0</v>
      </c>
      <c r="H286" s="36"/>
      <c r="I286" s="36">
        <v>0</v>
      </c>
      <c r="J286" s="36">
        <v>0</v>
      </c>
      <c r="K286" s="36">
        <v>0</v>
      </c>
    </row>
    <row r="287" spans="1:13" s="4" customFormat="1" ht="15.75" x14ac:dyDescent="0.25">
      <c r="A287" s="1">
        <f t="shared" si="9"/>
        <v>42</v>
      </c>
      <c r="B287" s="6">
        <v>44847</v>
      </c>
      <c r="C287" s="39">
        <f t="shared" si="10"/>
        <v>0</v>
      </c>
      <c r="D287" s="36">
        <v>0</v>
      </c>
      <c r="E287" s="36">
        <v>0</v>
      </c>
      <c r="F287" s="36">
        <v>0</v>
      </c>
      <c r="G287" s="36">
        <v>0</v>
      </c>
      <c r="H287" s="36"/>
      <c r="I287" s="36">
        <v>0</v>
      </c>
      <c r="J287" s="36">
        <v>0</v>
      </c>
      <c r="K287" s="36">
        <v>0</v>
      </c>
    </row>
    <row r="288" spans="1:13" s="4" customFormat="1" ht="15.75" x14ac:dyDescent="0.25">
      <c r="A288" s="1">
        <f t="shared" si="9"/>
        <v>42</v>
      </c>
      <c r="B288" s="6">
        <v>44848</v>
      </c>
      <c r="C288" s="39">
        <f t="shared" si="10"/>
        <v>14.201428571428574</v>
      </c>
      <c r="D288" s="36">
        <v>15.5</v>
      </c>
      <c r="E288" s="36">
        <v>13</v>
      </c>
      <c r="F288" s="36">
        <v>23.5</v>
      </c>
      <c r="G288" s="36">
        <v>12</v>
      </c>
      <c r="H288" s="37"/>
      <c r="I288" s="36">
        <v>13.21</v>
      </c>
      <c r="J288" s="36">
        <v>11</v>
      </c>
      <c r="K288" s="36">
        <v>11.2</v>
      </c>
    </row>
    <row r="289" spans="1:27" s="4" customFormat="1" x14ac:dyDescent="0.25">
      <c r="A289" s="1">
        <f t="shared" si="9"/>
        <v>42</v>
      </c>
      <c r="B289" s="6">
        <v>44849</v>
      </c>
      <c r="C289" s="39">
        <f t="shared" si="10"/>
        <v>0</v>
      </c>
      <c r="D289" s="1">
        <v>0</v>
      </c>
      <c r="E289" s="1">
        <v>0</v>
      </c>
      <c r="F289" s="1">
        <v>0</v>
      </c>
      <c r="G289" s="1">
        <v>0</v>
      </c>
      <c r="H289" s="1"/>
      <c r="I289" s="1">
        <v>0</v>
      </c>
      <c r="J289" s="1">
        <v>0</v>
      </c>
      <c r="K289" s="1">
        <v>0</v>
      </c>
    </row>
    <row r="290" spans="1:27" s="4" customFormat="1" x14ac:dyDescent="0.25">
      <c r="A290" s="1">
        <f t="shared" si="9"/>
        <v>42</v>
      </c>
      <c r="B290" s="6">
        <v>44850</v>
      </c>
      <c r="C290" s="39">
        <f t="shared" si="10"/>
        <v>0</v>
      </c>
      <c r="D290" s="1">
        <v>0</v>
      </c>
      <c r="E290" s="1">
        <v>0</v>
      </c>
      <c r="F290" s="1">
        <v>0</v>
      </c>
      <c r="G290" s="1">
        <v>0</v>
      </c>
      <c r="H290" s="1"/>
      <c r="I290" s="1">
        <v>0</v>
      </c>
      <c r="J290" s="1">
        <v>0</v>
      </c>
      <c r="K290" s="1">
        <v>0</v>
      </c>
    </row>
    <row r="291" spans="1:27" s="4" customFormat="1" x14ac:dyDescent="0.25">
      <c r="A291" s="1">
        <f t="shared" si="9"/>
        <v>43</v>
      </c>
      <c r="B291" s="6">
        <v>44851</v>
      </c>
      <c r="C291" s="39">
        <f t="shared" si="10"/>
        <v>0</v>
      </c>
      <c r="D291" s="1">
        <v>0</v>
      </c>
      <c r="E291" s="1">
        <v>0</v>
      </c>
      <c r="F291" s="1">
        <v>0</v>
      </c>
      <c r="G291" s="1">
        <v>0</v>
      </c>
      <c r="H291" s="1"/>
      <c r="I291" s="1">
        <v>0</v>
      </c>
      <c r="J291" s="1">
        <v>0</v>
      </c>
      <c r="K291" s="1">
        <v>0</v>
      </c>
    </row>
    <row r="292" spans="1:27" s="4" customFormat="1" x14ac:dyDescent="0.25">
      <c r="A292" s="1">
        <f t="shared" si="9"/>
        <v>43</v>
      </c>
      <c r="B292" s="6">
        <v>44852</v>
      </c>
      <c r="C292" s="39">
        <f t="shared" si="10"/>
        <v>0</v>
      </c>
      <c r="D292" s="1">
        <v>0</v>
      </c>
      <c r="E292" s="1">
        <v>0</v>
      </c>
      <c r="F292" s="1">
        <v>0</v>
      </c>
      <c r="G292" s="1">
        <v>0</v>
      </c>
      <c r="H292" s="1"/>
      <c r="I292" s="1">
        <v>0</v>
      </c>
      <c r="J292" s="1">
        <v>0</v>
      </c>
      <c r="K292" s="1">
        <v>0</v>
      </c>
    </row>
    <row r="293" spans="1:27" s="4" customFormat="1" x14ac:dyDescent="0.25">
      <c r="A293" s="1">
        <f t="shared" si="9"/>
        <v>43</v>
      </c>
      <c r="B293" s="6">
        <v>44853</v>
      </c>
      <c r="C293" s="39">
        <f t="shared" si="10"/>
        <v>0</v>
      </c>
      <c r="D293" s="1">
        <v>0</v>
      </c>
      <c r="E293" s="1">
        <v>0</v>
      </c>
      <c r="F293" s="1">
        <v>0</v>
      </c>
      <c r="G293" s="1">
        <v>0</v>
      </c>
      <c r="H293" s="1"/>
      <c r="I293" s="1">
        <v>0</v>
      </c>
      <c r="J293" s="1">
        <v>0</v>
      </c>
      <c r="K293" s="1">
        <v>0</v>
      </c>
    </row>
    <row r="294" spans="1:27" s="4" customFormat="1" x14ac:dyDescent="0.25">
      <c r="A294" s="1">
        <f t="shared" si="9"/>
        <v>43</v>
      </c>
      <c r="B294" s="6">
        <v>44854</v>
      </c>
      <c r="C294" s="39">
        <f t="shared" si="10"/>
        <v>0</v>
      </c>
      <c r="D294" s="1">
        <v>0</v>
      </c>
      <c r="E294" s="1">
        <v>0</v>
      </c>
      <c r="F294" s="1">
        <v>0</v>
      </c>
      <c r="G294" s="1">
        <v>0</v>
      </c>
      <c r="H294" s="1"/>
      <c r="I294" s="1">
        <v>0</v>
      </c>
      <c r="J294" s="1">
        <v>0</v>
      </c>
      <c r="K294" s="1">
        <v>0</v>
      </c>
    </row>
    <row r="295" spans="1:27" s="4" customFormat="1" x14ac:dyDescent="0.25">
      <c r="A295" s="1">
        <f t="shared" si="9"/>
        <v>43</v>
      </c>
      <c r="B295" s="6">
        <v>44855</v>
      </c>
      <c r="C295" s="39">
        <f t="shared" si="10"/>
        <v>0</v>
      </c>
      <c r="D295" s="1">
        <v>0</v>
      </c>
      <c r="E295" s="1">
        <v>0</v>
      </c>
      <c r="F295" s="1">
        <v>0</v>
      </c>
      <c r="G295" s="1">
        <v>0</v>
      </c>
      <c r="H295" s="1"/>
      <c r="I295" s="1">
        <v>0</v>
      </c>
      <c r="J295" s="1">
        <v>0</v>
      </c>
      <c r="K295" s="1">
        <v>0</v>
      </c>
    </row>
    <row r="296" spans="1:27" s="4" customFormat="1" x14ac:dyDescent="0.25">
      <c r="A296" s="1">
        <f t="shared" si="9"/>
        <v>43</v>
      </c>
      <c r="B296" s="6">
        <v>44856</v>
      </c>
      <c r="C296" s="39">
        <f t="shared" si="10"/>
        <v>0</v>
      </c>
      <c r="D296" s="1">
        <v>0</v>
      </c>
      <c r="E296" s="1">
        <v>0</v>
      </c>
      <c r="F296" s="1">
        <v>0</v>
      </c>
      <c r="G296" s="1">
        <v>0</v>
      </c>
      <c r="H296" s="1"/>
      <c r="I296" s="1">
        <v>0</v>
      </c>
      <c r="J296" s="1">
        <v>0</v>
      </c>
      <c r="K296" s="1">
        <v>0</v>
      </c>
    </row>
    <row r="297" spans="1:27" s="4" customFormat="1" x14ac:dyDescent="0.25">
      <c r="A297" s="1">
        <f t="shared" si="9"/>
        <v>43</v>
      </c>
      <c r="B297" s="6">
        <v>44857</v>
      </c>
      <c r="C297" s="39">
        <f t="shared" si="10"/>
        <v>0</v>
      </c>
      <c r="D297" s="1">
        <v>0</v>
      </c>
      <c r="E297" s="1">
        <v>0</v>
      </c>
      <c r="F297" s="1">
        <v>0</v>
      </c>
      <c r="G297" s="1">
        <v>0</v>
      </c>
      <c r="H297" s="1"/>
      <c r="I297" s="1">
        <v>0</v>
      </c>
      <c r="J297" s="1">
        <v>0</v>
      </c>
      <c r="K297" s="1">
        <v>0</v>
      </c>
    </row>
    <row r="298" spans="1:27" s="4" customFormat="1" x14ac:dyDescent="0.25">
      <c r="A298" s="1">
        <f t="shared" si="9"/>
        <v>44</v>
      </c>
      <c r="B298" s="6">
        <v>44858</v>
      </c>
      <c r="C298" s="39">
        <f t="shared" si="10"/>
        <v>0</v>
      </c>
      <c r="D298" s="1">
        <v>0</v>
      </c>
      <c r="E298" s="1">
        <v>0</v>
      </c>
      <c r="F298" s="1">
        <v>0</v>
      </c>
      <c r="G298" s="1">
        <v>0</v>
      </c>
      <c r="H298" s="1"/>
      <c r="I298" s="1">
        <v>0</v>
      </c>
      <c r="J298" s="1">
        <v>0</v>
      </c>
      <c r="K298" s="1">
        <v>0</v>
      </c>
    </row>
    <row r="299" spans="1:27" s="4" customFormat="1" x14ac:dyDescent="0.25">
      <c r="A299" s="1">
        <f t="shared" si="9"/>
        <v>44</v>
      </c>
      <c r="B299" s="6">
        <v>44859</v>
      </c>
      <c r="C299" s="39">
        <f t="shared" si="10"/>
        <v>0</v>
      </c>
      <c r="D299" s="1">
        <v>0</v>
      </c>
      <c r="E299" s="1">
        <v>0</v>
      </c>
      <c r="F299" s="1">
        <v>0</v>
      </c>
      <c r="G299" s="1">
        <v>0</v>
      </c>
      <c r="H299" s="1"/>
      <c r="I299" s="1">
        <v>0</v>
      </c>
      <c r="J299" s="1">
        <v>0</v>
      </c>
      <c r="K299" s="1">
        <v>0</v>
      </c>
    </row>
    <row r="300" spans="1:27" s="4" customFormat="1" x14ac:dyDescent="0.25">
      <c r="A300" s="1">
        <f t="shared" si="9"/>
        <v>44</v>
      </c>
      <c r="B300" s="6">
        <v>44860</v>
      </c>
      <c r="C300" s="39">
        <f t="shared" si="10"/>
        <v>0</v>
      </c>
      <c r="D300" s="1">
        <v>0</v>
      </c>
      <c r="E300" s="1">
        <v>0</v>
      </c>
      <c r="F300" s="1">
        <v>0</v>
      </c>
      <c r="G300" s="1">
        <v>0</v>
      </c>
      <c r="H300" s="1"/>
      <c r="I300" s="1">
        <v>0</v>
      </c>
      <c r="J300" s="1">
        <v>0</v>
      </c>
      <c r="K300" s="1">
        <v>0</v>
      </c>
    </row>
    <row r="301" spans="1:27" s="4" customFormat="1" x14ac:dyDescent="0.25">
      <c r="A301" s="1">
        <f t="shared" si="9"/>
        <v>44</v>
      </c>
      <c r="B301" s="6">
        <v>44861</v>
      </c>
      <c r="C301" s="39">
        <f t="shared" si="10"/>
        <v>0</v>
      </c>
      <c r="D301" s="1">
        <v>0</v>
      </c>
      <c r="E301" s="1">
        <v>0</v>
      </c>
      <c r="F301" s="1">
        <v>0</v>
      </c>
      <c r="G301" s="1">
        <v>0</v>
      </c>
      <c r="H301" s="1"/>
      <c r="I301" s="1">
        <v>0</v>
      </c>
      <c r="J301" s="1">
        <v>0</v>
      </c>
      <c r="K301" s="1">
        <v>0</v>
      </c>
    </row>
    <row r="302" spans="1:27" s="4" customFormat="1" x14ac:dyDescent="0.25">
      <c r="A302" s="1">
        <f t="shared" si="9"/>
        <v>44</v>
      </c>
      <c r="B302" s="6">
        <v>44862</v>
      </c>
      <c r="C302" s="39">
        <f t="shared" si="10"/>
        <v>0</v>
      </c>
      <c r="D302" s="1">
        <v>0</v>
      </c>
      <c r="E302" s="1">
        <v>0</v>
      </c>
      <c r="F302" s="1">
        <v>0</v>
      </c>
      <c r="G302" s="1">
        <v>0</v>
      </c>
      <c r="H302" s="1"/>
      <c r="I302" s="1">
        <v>0</v>
      </c>
      <c r="J302" s="1">
        <v>0</v>
      </c>
      <c r="K302" s="1">
        <v>0</v>
      </c>
    </row>
    <row r="303" spans="1:27" s="4" customFormat="1" x14ac:dyDescent="0.25">
      <c r="A303" s="1">
        <f t="shared" si="9"/>
        <v>44</v>
      </c>
      <c r="B303" s="6">
        <v>44863</v>
      </c>
      <c r="C303" s="39">
        <f t="shared" si="10"/>
        <v>0</v>
      </c>
      <c r="D303" s="1">
        <v>0</v>
      </c>
      <c r="E303" s="1">
        <v>0</v>
      </c>
      <c r="F303" s="1">
        <v>0</v>
      </c>
      <c r="G303" s="1">
        <v>0</v>
      </c>
      <c r="H303" s="1"/>
      <c r="I303" s="1">
        <v>0</v>
      </c>
      <c r="J303" s="1">
        <v>0</v>
      </c>
      <c r="K303" s="1">
        <v>0</v>
      </c>
    </row>
    <row r="304" spans="1:27" s="25" customFormat="1" ht="15.75" thickBot="1" x14ac:dyDescent="0.3">
      <c r="A304" s="22">
        <f t="shared" si="9"/>
        <v>44</v>
      </c>
      <c r="B304" s="6">
        <v>44864</v>
      </c>
      <c r="C304" s="39">
        <f t="shared" si="10"/>
        <v>0</v>
      </c>
      <c r="D304" s="1">
        <v>0</v>
      </c>
      <c r="E304" s="1">
        <v>0</v>
      </c>
      <c r="F304" s="1">
        <v>0</v>
      </c>
      <c r="G304" s="1">
        <v>0</v>
      </c>
      <c r="H304" s="1"/>
      <c r="I304" s="1">
        <v>0</v>
      </c>
      <c r="J304" s="1">
        <v>0</v>
      </c>
      <c r="K304" s="1">
        <v>0</v>
      </c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 spans="1:12" s="4" customFormat="1" ht="15.75" thickBot="1" x14ac:dyDescent="0.3">
      <c r="A305" s="16">
        <f t="shared" si="9"/>
        <v>45</v>
      </c>
      <c r="B305" s="6">
        <v>44865</v>
      </c>
      <c r="C305" s="39">
        <f t="shared" si="10"/>
        <v>0</v>
      </c>
      <c r="D305" s="1">
        <v>0</v>
      </c>
      <c r="E305" s="1">
        <v>0</v>
      </c>
      <c r="F305" s="1">
        <v>0</v>
      </c>
      <c r="G305" s="1">
        <v>0</v>
      </c>
      <c r="H305" s="1"/>
      <c r="I305" s="1">
        <v>0</v>
      </c>
      <c r="J305" s="1">
        <v>0</v>
      </c>
      <c r="K305" s="1">
        <v>0</v>
      </c>
      <c r="L305" s="24">
        <f>SUM(C275:C305)</f>
        <v>31.871428571428574</v>
      </c>
    </row>
    <row r="306" spans="1:12" s="4" customFormat="1" x14ac:dyDescent="0.25">
      <c r="A306" s="1">
        <f t="shared" si="9"/>
        <v>45</v>
      </c>
      <c r="B306" s="6">
        <v>44866</v>
      </c>
      <c r="C306" s="39">
        <f t="shared" si="10"/>
        <v>0</v>
      </c>
      <c r="D306" s="1">
        <v>0</v>
      </c>
      <c r="E306" s="1">
        <v>0</v>
      </c>
      <c r="F306" s="1">
        <v>0</v>
      </c>
      <c r="G306" s="1">
        <v>0</v>
      </c>
      <c r="H306" s="1"/>
      <c r="I306" s="1"/>
      <c r="J306" s="1">
        <v>0</v>
      </c>
      <c r="K306" s="1">
        <v>0</v>
      </c>
    </row>
    <row r="307" spans="1:12" s="4" customFormat="1" x14ac:dyDescent="0.25">
      <c r="A307" s="1">
        <f t="shared" si="9"/>
        <v>45</v>
      </c>
      <c r="B307" s="6">
        <v>44867</v>
      </c>
      <c r="C307" s="39">
        <f t="shared" si="10"/>
        <v>0</v>
      </c>
      <c r="D307" s="1">
        <v>0</v>
      </c>
      <c r="E307" s="1">
        <v>0</v>
      </c>
      <c r="F307" s="1">
        <v>0</v>
      </c>
      <c r="G307" s="1">
        <v>0</v>
      </c>
      <c r="H307" s="1"/>
      <c r="I307" s="1"/>
      <c r="J307" s="1">
        <v>0</v>
      </c>
      <c r="K307" s="1">
        <v>0</v>
      </c>
    </row>
    <row r="308" spans="1:12" s="4" customFormat="1" x14ac:dyDescent="0.25">
      <c r="A308" s="1">
        <f t="shared" si="9"/>
        <v>45</v>
      </c>
      <c r="B308" s="6">
        <v>44868</v>
      </c>
      <c r="C308" s="39">
        <f t="shared" si="10"/>
        <v>0</v>
      </c>
      <c r="D308" s="1">
        <v>0</v>
      </c>
      <c r="E308" s="1">
        <v>0</v>
      </c>
      <c r="F308" s="1">
        <v>0</v>
      </c>
      <c r="G308" s="1">
        <v>0</v>
      </c>
      <c r="H308" s="1"/>
      <c r="I308" s="1"/>
      <c r="J308" s="1">
        <v>0</v>
      </c>
      <c r="K308" s="1">
        <v>0</v>
      </c>
    </row>
    <row r="309" spans="1:12" s="4" customFormat="1" x14ac:dyDescent="0.25">
      <c r="A309" s="1">
        <f t="shared" si="9"/>
        <v>45</v>
      </c>
      <c r="B309" s="6">
        <v>44869</v>
      </c>
      <c r="C309" s="39">
        <f t="shared" si="10"/>
        <v>0</v>
      </c>
      <c r="D309" s="1">
        <v>0</v>
      </c>
      <c r="E309" s="1">
        <v>0</v>
      </c>
      <c r="F309" s="1">
        <v>0</v>
      </c>
      <c r="G309" s="1">
        <v>0</v>
      </c>
      <c r="H309" s="1"/>
      <c r="I309" s="1"/>
      <c r="J309" s="1">
        <v>0</v>
      </c>
      <c r="K309" s="1">
        <v>0</v>
      </c>
    </row>
    <row r="310" spans="1:12" s="4" customFormat="1" x14ac:dyDescent="0.25">
      <c r="A310" s="1">
        <f t="shared" si="9"/>
        <v>45</v>
      </c>
      <c r="B310" s="6">
        <v>44870</v>
      </c>
      <c r="C310" s="39">
        <f t="shared" si="10"/>
        <v>0</v>
      </c>
      <c r="D310" s="1">
        <v>0</v>
      </c>
      <c r="E310" s="1">
        <v>0</v>
      </c>
      <c r="F310" s="1">
        <v>0</v>
      </c>
      <c r="G310" s="1">
        <v>0</v>
      </c>
      <c r="H310" s="1"/>
      <c r="I310" s="1"/>
      <c r="J310" s="1">
        <v>0</v>
      </c>
      <c r="K310" s="1">
        <v>0</v>
      </c>
    </row>
    <row r="311" spans="1:12" s="4" customFormat="1" x14ac:dyDescent="0.25">
      <c r="A311" s="1">
        <f t="shared" si="9"/>
        <v>45</v>
      </c>
      <c r="B311" s="6">
        <v>44871</v>
      </c>
      <c r="C311" s="39">
        <f t="shared" si="10"/>
        <v>0</v>
      </c>
      <c r="D311" s="1">
        <v>0</v>
      </c>
      <c r="E311" s="1">
        <v>0</v>
      </c>
      <c r="F311" s="1">
        <v>0</v>
      </c>
      <c r="G311" s="1">
        <v>0</v>
      </c>
      <c r="H311" s="1"/>
      <c r="I311" s="1"/>
      <c r="J311" s="1">
        <v>0</v>
      </c>
      <c r="K311" s="1">
        <v>0</v>
      </c>
    </row>
    <row r="312" spans="1:12" s="4" customFormat="1" x14ac:dyDescent="0.25">
      <c r="A312" s="1">
        <f t="shared" si="9"/>
        <v>46</v>
      </c>
      <c r="B312" s="6">
        <v>44872</v>
      </c>
      <c r="C312" s="39">
        <f t="shared" si="10"/>
        <v>0</v>
      </c>
      <c r="D312" s="1">
        <v>0</v>
      </c>
      <c r="E312" s="1">
        <v>0</v>
      </c>
      <c r="F312" s="1">
        <v>0</v>
      </c>
      <c r="G312" s="1">
        <v>0</v>
      </c>
      <c r="H312" s="1"/>
      <c r="I312" s="1"/>
      <c r="J312" s="1">
        <v>0</v>
      </c>
      <c r="K312" s="1">
        <v>0</v>
      </c>
    </row>
    <row r="313" spans="1:12" s="4" customFormat="1" x14ac:dyDescent="0.25">
      <c r="A313" s="1">
        <f t="shared" si="9"/>
        <v>46</v>
      </c>
      <c r="B313" s="6">
        <v>44873</v>
      </c>
      <c r="C313" s="39">
        <f t="shared" si="10"/>
        <v>0</v>
      </c>
      <c r="D313" s="1">
        <v>0</v>
      </c>
      <c r="E313" s="1">
        <v>0</v>
      </c>
      <c r="F313" s="1">
        <v>0</v>
      </c>
      <c r="G313" s="1">
        <v>0</v>
      </c>
      <c r="H313" s="1"/>
      <c r="I313" s="1"/>
      <c r="J313" s="1">
        <v>0</v>
      </c>
      <c r="K313" s="1">
        <v>0</v>
      </c>
    </row>
    <row r="314" spans="1:12" s="4" customFormat="1" x14ac:dyDescent="0.25">
      <c r="A314" s="1">
        <f t="shared" si="9"/>
        <v>46</v>
      </c>
      <c r="B314" s="6">
        <v>44874</v>
      </c>
      <c r="C314" s="39">
        <f t="shared" si="10"/>
        <v>0</v>
      </c>
      <c r="D314" s="1">
        <v>0</v>
      </c>
      <c r="E314" s="1">
        <v>0</v>
      </c>
      <c r="F314" s="1">
        <v>0</v>
      </c>
      <c r="G314" s="1">
        <v>0</v>
      </c>
      <c r="H314" s="1"/>
      <c r="I314" s="1"/>
      <c r="J314" s="1">
        <v>0</v>
      </c>
      <c r="K314" s="1">
        <v>0</v>
      </c>
    </row>
    <row r="315" spans="1:12" s="4" customFormat="1" x14ac:dyDescent="0.25">
      <c r="A315" s="1">
        <f t="shared" si="9"/>
        <v>46</v>
      </c>
      <c r="B315" s="6">
        <v>44875</v>
      </c>
      <c r="C315" s="39">
        <f t="shared" si="10"/>
        <v>0</v>
      </c>
      <c r="D315" s="1">
        <v>0</v>
      </c>
      <c r="E315" s="1">
        <v>0</v>
      </c>
      <c r="F315" s="1">
        <v>0</v>
      </c>
      <c r="G315" s="1">
        <v>0</v>
      </c>
      <c r="H315" s="1"/>
      <c r="I315" s="1"/>
      <c r="J315" s="1">
        <v>0</v>
      </c>
      <c r="K315" s="1">
        <v>0</v>
      </c>
    </row>
    <row r="316" spans="1:12" s="4" customFormat="1" x14ac:dyDescent="0.25">
      <c r="A316" s="1">
        <f t="shared" si="9"/>
        <v>46</v>
      </c>
      <c r="B316" s="6">
        <v>44876</v>
      </c>
      <c r="C316" s="39">
        <f t="shared" si="10"/>
        <v>0</v>
      </c>
      <c r="D316" s="1">
        <v>0</v>
      </c>
      <c r="E316" s="1">
        <v>0</v>
      </c>
      <c r="F316" s="1">
        <v>0</v>
      </c>
      <c r="G316" s="1">
        <v>0</v>
      </c>
      <c r="H316" s="1"/>
      <c r="I316" s="1"/>
      <c r="J316" s="1">
        <v>0</v>
      </c>
      <c r="K316" s="1">
        <v>0</v>
      </c>
    </row>
    <row r="317" spans="1:12" s="4" customFormat="1" x14ac:dyDescent="0.25">
      <c r="A317" s="1">
        <f t="shared" si="9"/>
        <v>46</v>
      </c>
      <c r="B317" s="6">
        <v>44877</v>
      </c>
      <c r="C317" s="39">
        <f t="shared" si="10"/>
        <v>0</v>
      </c>
      <c r="D317" s="1">
        <v>0</v>
      </c>
      <c r="E317" s="1">
        <v>0</v>
      </c>
      <c r="F317" s="1">
        <v>0</v>
      </c>
      <c r="G317" s="1">
        <v>0</v>
      </c>
      <c r="H317" s="1"/>
      <c r="I317" s="1"/>
      <c r="J317" s="1">
        <v>0</v>
      </c>
      <c r="K317" s="1">
        <v>0</v>
      </c>
    </row>
    <row r="318" spans="1:12" s="4" customFormat="1" x14ac:dyDescent="0.25">
      <c r="A318" s="1">
        <f t="shared" si="9"/>
        <v>46</v>
      </c>
      <c r="B318" s="6">
        <v>44878</v>
      </c>
      <c r="C318" s="39">
        <f t="shared" si="10"/>
        <v>7.0842857142857136</v>
      </c>
      <c r="D318" s="1">
        <v>9.5</v>
      </c>
      <c r="E318" s="1">
        <v>1.4</v>
      </c>
      <c r="F318" s="1">
        <v>21</v>
      </c>
      <c r="G318" s="1">
        <v>10</v>
      </c>
      <c r="H318" s="1"/>
      <c r="I318" s="1">
        <v>2.4</v>
      </c>
      <c r="J318" s="1">
        <v>2.4900000000000002</v>
      </c>
      <c r="K318" s="1">
        <v>2.8</v>
      </c>
    </row>
    <row r="319" spans="1:12" s="4" customFormat="1" x14ac:dyDescent="0.25">
      <c r="A319" s="1">
        <f t="shared" si="9"/>
        <v>47</v>
      </c>
      <c r="B319" s="6">
        <v>44879</v>
      </c>
      <c r="C319" s="39">
        <f t="shared" si="10"/>
        <v>0</v>
      </c>
      <c r="D319" s="1">
        <v>0</v>
      </c>
      <c r="E319" s="1">
        <v>0</v>
      </c>
      <c r="F319" s="1">
        <v>0</v>
      </c>
      <c r="G319" s="1">
        <v>0</v>
      </c>
      <c r="H319" s="1"/>
      <c r="I319" s="1"/>
      <c r="J319" s="1">
        <v>0</v>
      </c>
      <c r="K319" s="1">
        <v>0</v>
      </c>
    </row>
    <row r="320" spans="1:12" s="4" customFormat="1" x14ac:dyDescent="0.25">
      <c r="A320" s="1">
        <f t="shared" si="9"/>
        <v>47</v>
      </c>
      <c r="B320" s="6">
        <v>44880</v>
      </c>
      <c r="C320" s="39">
        <f t="shared" si="10"/>
        <v>0</v>
      </c>
      <c r="D320" s="1">
        <v>0</v>
      </c>
      <c r="E320" s="1">
        <v>0</v>
      </c>
      <c r="F320" s="1">
        <v>0</v>
      </c>
      <c r="G320" s="1">
        <v>0</v>
      </c>
      <c r="H320" s="1"/>
      <c r="I320" s="1"/>
      <c r="J320" s="1">
        <v>0</v>
      </c>
      <c r="K320" s="1">
        <v>0</v>
      </c>
    </row>
    <row r="321" spans="1:12" s="4" customFormat="1" x14ac:dyDescent="0.25">
      <c r="A321" s="1">
        <f t="shared" si="9"/>
        <v>47</v>
      </c>
      <c r="B321" s="6">
        <v>44881</v>
      </c>
      <c r="C321" s="39">
        <f t="shared" si="10"/>
        <v>0</v>
      </c>
      <c r="D321" s="1">
        <v>0</v>
      </c>
      <c r="E321" s="1">
        <v>0</v>
      </c>
      <c r="F321" s="1">
        <v>0</v>
      </c>
      <c r="G321" s="1">
        <v>0</v>
      </c>
      <c r="H321" s="1"/>
      <c r="I321" s="1"/>
      <c r="J321" s="1">
        <v>0</v>
      </c>
      <c r="K321" s="1">
        <v>0</v>
      </c>
    </row>
    <row r="322" spans="1:12" s="4" customFormat="1" x14ac:dyDescent="0.25">
      <c r="A322" s="1">
        <f t="shared" si="9"/>
        <v>47</v>
      </c>
      <c r="B322" s="6">
        <v>44882</v>
      </c>
      <c r="C322" s="39">
        <f t="shared" si="10"/>
        <v>0</v>
      </c>
      <c r="D322" s="1">
        <v>0</v>
      </c>
      <c r="E322" s="1">
        <v>0</v>
      </c>
      <c r="F322" s="1">
        <v>0</v>
      </c>
      <c r="G322" s="1">
        <v>0</v>
      </c>
      <c r="H322" s="1"/>
      <c r="I322" s="1"/>
      <c r="J322" s="1">
        <v>0</v>
      </c>
      <c r="K322" s="1">
        <v>0</v>
      </c>
    </row>
    <row r="323" spans="1:12" s="4" customFormat="1" x14ac:dyDescent="0.25">
      <c r="A323" s="1">
        <f t="shared" ref="A323:A365" si="11">WEEKNUM($B323,2)</f>
        <v>47</v>
      </c>
      <c r="B323" s="6">
        <v>44883</v>
      </c>
      <c r="C323" s="39">
        <f t="shared" ref="C323:C366" si="12">AVERAGE(D323:K323)</f>
        <v>0</v>
      </c>
      <c r="D323" s="1">
        <v>0</v>
      </c>
      <c r="E323" s="1">
        <v>0</v>
      </c>
      <c r="F323" s="1">
        <v>0</v>
      </c>
      <c r="G323" s="1">
        <v>0</v>
      </c>
      <c r="H323" s="1"/>
      <c r="I323" s="1"/>
      <c r="J323" s="1">
        <v>0</v>
      </c>
      <c r="K323" s="1">
        <v>0</v>
      </c>
    </row>
    <row r="324" spans="1:12" s="4" customFormat="1" x14ac:dyDescent="0.25">
      <c r="A324" s="1">
        <f t="shared" si="11"/>
        <v>47</v>
      </c>
      <c r="B324" s="6">
        <v>44884</v>
      </c>
      <c r="C324" s="39">
        <f t="shared" si="12"/>
        <v>0</v>
      </c>
      <c r="D324" s="1">
        <v>0</v>
      </c>
      <c r="E324" s="1">
        <v>0</v>
      </c>
      <c r="F324" s="1">
        <v>0</v>
      </c>
      <c r="G324" s="1">
        <v>0</v>
      </c>
      <c r="H324" s="1"/>
      <c r="I324" s="1"/>
      <c r="J324" s="1">
        <v>0</v>
      </c>
      <c r="K324" s="1">
        <v>0</v>
      </c>
    </row>
    <row r="325" spans="1:12" s="4" customFormat="1" x14ac:dyDescent="0.25">
      <c r="A325" s="1">
        <f t="shared" si="11"/>
        <v>47</v>
      </c>
      <c r="B325" s="6">
        <v>44885</v>
      </c>
      <c r="C325" s="39">
        <f t="shared" si="12"/>
        <v>0</v>
      </c>
      <c r="D325" s="1">
        <v>0</v>
      </c>
      <c r="E325" s="1">
        <v>0</v>
      </c>
      <c r="F325" s="1">
        <v>0</v>
      </c>
      <c r="G325" s="1">
        <v>0</v>
      </c>
      <c r="H325" s="1"/>
      <c r="I325" s="1"/>
      <c r="J325" s="1">
        <v>0</v>
      </c>
      <c r="K325" s="1">
        <v>0</v>
      </c>
    </row>
    <row r="326" spans="1:12" s="4" customFormat="1" x14ac:dyDescent="0.25">
      <c r="A326" s="1">
        <f t="shared" si="11"/>
        <v>48</v>
      </c>
      <c r="B326" s="6">
        <v>44886</v>
      </c>
      <c r="C326" s="39">
        <f t="shared" si="12"/>
        <v>0</v>
      </c>
      <c r="D326" s="1">
        <v>0</v>
      </c>
      <c r="E326" s="1">
        <v>0</v>
      </c>
      <c r="F326" s="1">
        <v>0</v>
      </c>
      <c r="G326" s="1">
        <v>0</v>
      </c>
      <c r="H326" s="1"/>
      <c r="I326" s="1"/>
      <c r="J326" s="1">
        <v>0</v>
      </c>
      <c r="K326" s="1">
        <v>0</v>
      </c>
    </row>
    <row r="327" spans="1:12" s="4" customFormat="1" x14ac:dyDescent="0.25">
      <c r="A327" s="1">
        <f t="shared" si="11"/>
        <v>48</v>
      </c>
      <c r="B327" s="6">
        <v>44887</v>
      </c>
      <c r="C327" s="39">
        <f t="shared" si="12"/>
        <v>0</v>
      </c>
      <c r="D327" s="1">
        <v>0</v>
      </c>
      <c r="E327" s="1">
        <v>0</v>
      </c>
      <c r="F327" s="1">
        <v>0</v>
      </c>
      <c r="G327" s="1">
        <v>0</v>
      </c>
      <c r="H327" s="1"/>
      <c r="I327" s="1"/>
      <c r="J327" s="1">
        <v>0</v>
      </c>
      <c r="K327" s="1">
        <v>0</v>
      </c>
    </row>
    <row r="328" spans="1:12" s="4" customFormat="1" x14ac:dyDescent="0.25">
      <c r="A328" s="1">
        <f t="shared" si="11"/>
        <v>48</v>
      </c>
      <c r="B328" s="6">
        <v>44888</v>
      </c>
      <c r="C328" s="39">
        <f t="shared" si="12"/>
        <v>0</v>
      </c>
      <c r="D328" s="1">
        <v>0</v>
      </c>
      <c r="E328" s="1">
        <v>0</v>
      </c>
      <c r="F328" s="1">
        <v>0</v>
      </c>
      <c r="G328" s="1">
        <v>0</v>
      </c>
      <c r="H328" s="1"/>
      <c r="I328" s="1"/>
      <c r="J328" s="1">
        <v>0</v>
      </c>
      <c r="K328" s="1">
        <v>0</v>
      </c>
    </row>
    <row r="329" spans="1:12" s="4" customFormat="1" x14ac:dyDescent="0.25">
      <c r="A329" s="1">
        <f t="shared" si="11"/>
        <v>48</v>
      </c>
      <c r="B329" s="6">
        <v>44889</v>
      </c>
      <c r="C329" s="39">
        <f t="shared" si="12"/>
        <v>0</v>
      </c>
      <c r="D329" s="1">
        <v>0</v>
      </c>
      <c r="E329" s="1">
        <v>0</v>
      </c>
      <c r="F329" s="1">
        <v>0</v>
      </c>
      <c r="G329" s="1">
        <v>0</v>
      </c>
      <c r="H329" s="1"/>
      <c r="I329" s="1"/>
      <c r="J329" s="1">
        <v>0</v>
      </c>
      <c r="K329" s="1">
        <v>0</v>
      </c>
    </row>
    <row r="330" spans="1:12" s="4" customFormat="1" x14ac:dyDescent="0.25">
      <c r="A330" s="1">
        <f t="shared" si="11"/>
        <v>48</v>
      </c>
      <c r="B330" s="6">
        <v>44890</v>
      </c>
      <c r="C330" s="39">
        <f t="shared" si="12"/>
        <v>0</v>
      </c>
      <c r="D330" s="1">
        <v>0</v>
      </c>
      <c r="E330" s="1">
        <v>0</v>
      </c>
      <c r="F330" s="1">
        <v>0</v>
      </c>
      <c r="G330" s="1">
        <v>0</v>
      </c>
      <c r="H330" s="1"/>
      <c r="I330" s="1"/>
      <c r="J330" s="1">
        <v>0</v>
      </c>
      <c r="K330" s="1">
        <v>0</v>
      </c>
    </row>
    <row r="331" spans="1:12" s="4" customFormat="1" x14ac:dyDescent="0.25">
      <c r="A331" s="1">
        <f t="shared" si="11"/>
        <v>48</v>
      </c>
      <c r="B331" s="6">
        <v>44891</v>
      </c>
      <c r="C331" s="39">
        <f t="shared" si="12"/>
        <v>0</v>
      </c>
      <c r="D331" s="1">
        <v>0</v>
      </c>
      <c r="E331" s="1">
        <v>0</v>
      </c>
      <c r="F331" s="1">
        <v>0</v>
      </c>
      <c r="G331" s="1">
        <v>0</v>
      </c>
      <c r="H331" s="1"/>
      <c r="I331" s="1"/>
      <c r="J331" s="1">
        <v>0</v>
      </c>
      <c r="K331" s="1">
        <v>0</v>
      </c>
    </row>
    <row r="332" spans="1:12" s="4" customFormat="1" x14ac:dyDescent="0.25">
      <c r="A332" s="1">
        <f t="shared" si="11"/>
        <v>48</v>
      </c>
      <c r="B332" s="6">
        <v>44892</v>
      </c>
      <c r="C332" s="39">
        <f t="shared" si="12"/>
        <v>0</v>
      </c>
      <c r="D332" s="1">
        <v>0</v>
      </c>
      <c r="E332" s="1">
        <v>0</v>
      </c>
      <c r="F332" s="1">
        <v>0</v>
      </c>
      <c r="G332" s="1">
        <v>0</v>
      </c>
      <c r="H332" s="1"/>
      <c r="I332" s="1"/>
      <c r="J332" s="1">
        <v>0</v>
      </c>
      <c r="K332" s="1">
        <v>0</v>
      </c>
    </row>
    <row r="333" spans="1:12" s="4" customFormat="1" x14ac:dyDescent="0.25">
      <c r="A333" s="1"/>
      <c r="B333" s="6">
        <v>44893</v>
      </c>
      <c r="C333" s="39">
        <f t="shared" si="12"/>
        <v>0</v>
      </c>
      <c r="D333" s="1">
        <v>0</v>
      </c>
      <c r="E333" s="1">
        <v>0</v>
      </c>
      <c r="F333" s="1">
        <v>0</v>
      </c>
      <c r="G333" s="1">
        <v>0</v>
      </c>
      <c r="H333" s="1"/>
      <c r="I333" s="1"/>
      <c r="J333" s="1">
        <v>0</v>
      </c>
      <c r="K333" s="1">
        <v>0</v>
      </c>
    </row>
    <row r="334" spans="1:12" s="4" customFormat="1" x14ac:dyDescent="0.25">
      <c r="A334" s="1">
        <f t="shared" si="11"/>
        <v>49</v>
      </c>
      <c r="B334" s="6">
        <v>44894</v>
      </c>
      <c r="C334" s="39">
        <f t="shared" si="12"/>
        <v>0</v>
      </c>
      <c r="D334" s="1">
        <v>0</v>
      </c>
      <c r="E334" s="1">
        <v>0</v>
      </c>
      <c r="F334" s="1">
        <v>0</v>
      </c>
      <c r="G334" s="1">
        <v>0</v>
      </c>
      <c r="H334" s="1"/>
      <c r="I334" s="1"/>
      <c r="J334" s="1">
        <v>0</v>
      </c>
      <c r="K334" s="1">
        <v>0</v>
      </c>
    </row>
    <row r="335" spans="1:12" s="25" customFormat="1" ht="15.75" thickBot="1" x14ac:dyDescent="0.3">
      <c r="A335" s="22">
        <f t="shared" si="11"/>
        <v>49</v>
      </c>
      <c r="B335" s="6">
        <v>44895</v>
      </c>
      <c r="C335" s="39">
        <f t="shared" si="12"/>
        <v>0</v>
      </c>
      <c r="D335" s="1">
        <v>0</v>
      </c>
      <c r="E335" s="1">
        <v>0</v>
      </c>
      <c r="F335" s="1">
        <v>0</v>
      </c>
      <c r="G335" s="1">
        <v>0</v>
      </c>
      <c r="H335" s="1"/>
      <c r="I335" s="1"/>
      <c r="J335" s="1">
        <v>0</v>
      </c>
      <c r="K335" s="1">
        <v>0</v>
      </c>
      <c r="L335" s="25">
        <f>SUM(C306:C335)</f>
        <v>7.0842857142857136</v>
      </c>
    </row>
    <row r="336" spans="1:12" s="4" customFormat="1" x14ac:dyDescent="0.25">
      <c r="A336" s="1">
        <f t="shared" si="11"/>
        <v>49</v>
      </c>
      <c r="B336" s="6">
        <v>44896</v>
      </c>
      <c r="C336" s="39">
        <f t="shared" si="12"/>
        <v>0</v>
      </c>
      <c r="D336" s="1">
        <v>0</v>
      </c>
      <c r="E336" s="1">
        <v>0</v>
      </c>
      <c r="F336" s="1">
        <v>0</v>
      </c>
      <c r="G336" s="1">
        <v>0</v>
      </c>
      <c r="H336" s="1">
        <v>0</v>
      </c>
      <c r="I336" s="1"/>
      <c r="J336" s="1">
        <v>0</v>
      </c>
      <c r="K336" s="1"/>
    </row>
    <row r="337" spans="1:11" s="4" customFormat="1" x14ac:dyDescent="0.25">
      <c r="A337" s="1">
        <f t="shared" si="11"/>
        <v>49</v>
      </c>
      <c r="B337" s="6">
        <v>44897</v>
      </c>
      <c r="C337" s="39">
        <f t="shared" si="12"/>
        <v>0</v>
      </c>
      <c r="D337" s="1">
        <v>0</v>
      </c>
      <c r="E337" s="1">
        <v>0</v>
      </c>
      <c r="F337" s="1">
        <v>0</v>
      </c>
      <c r="G337" s="1">
        <v>0</v>
      </c>
      <c r="H337" s="1">
        <v>0</v>
      </c>
      <c r="I337" s="1"/>
      <c r="J337" s="1">
        <v>0</v>
      </c>
      <c r="K337" s="1"/>
    </row>
    <row r="338" spans="1:11" s="4" customFormat="1" x14ac:dyDescent="0.25">
      <c r="A338" s="1">
        <f t="shared" si="11"/>
        <v>49</v>
      </c>
      <c r="B338" s="6">
        <v>44898</v>
      </c>
      <c r="C338" s="39">
        <f t="shared" si="12"/>
        <v>0</v>
      </c>
      <c r="D338" s="1">
        <v>0</v>
      </c>
      <c r="E338" s="1">
        <v>0</v>
      </c>
      <c r="F338" s="1">
        <v>0</v>
      </c>
      <c r="G338" s="1">
        <v>0</v>
      </c>
      <c r="H338" s="1">
        <v>0</v>
      </c>
      <c r="I338" s="1"/>
      <c r="J338" s="1">
        <v>0</v>
      </c>
      <c r="K338" s="1"/>
    </row>
    <row r="339" spans="1:11" s="4" customFormat="1" x14ac:dyDescent="0.25">
      <c r="A339" s="1">
        <f t="shared" si="11"/>
        <v>49</v>
      </c>
      <c r="B339" s="6">
        <v>44899</v>
      </c>
      <c r="C339" s="39">
        <f t="shared" si="12"/>
        <v>0</v>
      </c>
      <c r="D339" s="1">
        <v>0</v>
      </c>
      <c r="E339" s="1">
        <v>0</v>
      </c>
      <c r="F339" s="1">
        <v>0</v>
      </c>
      <c r="G339" s="1">
        <v>0</v>
      </c>
      <c r="H339" s="1">
        <v>0</v>
      </c>
      <c r="I339" s="1"/>
      <c r="J339" s="1">
        <v>0</v>
      </c>
      <c r="K339" s="1"/>
    </row>
    <row r="340" spans="1:11" s="4" customFormat="1" x14ac:dyDescent="0.25">
      <c r="A340" s="1">
        <f t="shared" si="11"/>
        <v>50</v>
      </c>
      <c r="B340" s="6">
        <v>44900</v>
      </c>
      <c r="C340" s="39">
        <f t="shared" si="12"/>
        <v>0</v>
      </c>
      <c r="D340" s="1">
        <v>0</v>
      </c>
      <c r="E340" s="1">
        <v>0</v>
      </c>
      <c r="F340" s="1">
        <v>0</v>
      </c>
      <c r="G340" s="1">
        <v>0</v>
      </c>
      <c r="H340" s="1">
        <v>0</v>
      </c>
      <c r="I340" s="1"/>
      <c r="J340" s="1">
        <v>0</v>
      </c>
      <c r="K340" s="1"/>
    </row>
    <row r="341" spans="1:11" s="4" customFormat="1" x14ac:dyDescent="0.25">
      <c r="A341" s="1">
        <f t="shared" si="11"/>
        <v>50</v>
      </c>
      <c r="B341" s="6">
        <v>44901</v>
      </c>
      <c r="C341" s="39">
        <f t="shared" si="12"/>
        <v>0</v>
      </c>
      <c r="D341" s="1">
        <v>0</v>
      </c>
      <c r="E341" s="1">
        <v>0</v>
      </c>
      <c r="F341" s="1">
        <v>0</v>
      </c>
      <c r="G341" s="1">
        <v>0</v>
      </c>
      <c r="H341" s="1">
        <v>0</v>
      </c>
      <c r="I341" s="1"/>
      <c r="J341" s="1">
        <v>0</v>
      </c>
      <c r="K341" s="1"/>
    </row>
    <row r="342" spans="1:11" s="4" customFormat="1" x14ac:dyDescent="0.25">
      <c r="A342" s="1">
        <f t="shared" si="11"/>
        <v>50</v>
      </c>
      <c r="B342" s="6">
        <v>44902</v>
      </c>
      <c r="C342" s="39">
        <f t="shared" si="12"/>
        <v>0</v>
      </c>
      <c r="D342" s="1">
        <v>0</v>
      </c>
      <c r="E342" s="1">
        <v>0</v>
      </c>
      <c r="F342" s="1">
        <v>0</v>
      </c>
      <c r="G342" s="1">
        <v>0</v>
      </c>
      <c r="H342" s="1">
        <v>0</v>
      </c>
      <c r="I342" s="1"/>
      <c r="J342" s="1">
        <v>0</v>
      </c>
      <c r="K342" s="1"/>
    </row>
    <row r="343" spans="1:11" s="4" customFormat="1" x14ac:dyDescent="0.25">
      <c r="A343" s="1">
        <f t="shared" si="11"/>
        <v>50</v>
      </c>
      <c r="B343" s="6">
        <v>44903</v>
      </c>
      <c r="C343" s="39">
        <f t="shared" si="12"/>
        <v>0</v>
      </c>
      <c r="D343" s="1">
        <v>0</v>
      </c>
      <c r="E343" s="1">
        <v>0</v>
      </c>
      <c r="F343" s="1">
        <v>0</v>
      </c>
      <c r="G343" s="1">
        <v>0</v>
      </c>
      <c r="H343" s="1">
        <v>0</v>
      </c>
      <c r="I343" s="1"/>
      <c r="J343" s="1">
        <v>0</v>
      </c>
      <c r="K343" s="1"/>
    </row>
    <row r="344" spans="1:11" s="4" customFormat="1" x14ac:dyDescent="0.25">
      <c r="A344" s="1">
        <f t="shared" si="11"/>
        <v>50</v>
      </c>
      <c r="B344" s="6">
        <v>44904</v>
      </c>
      <c r="C344" s="39">
        <f t="shared" si="12"/>
        <v>0</v>
      </c>
      <c r="D344" s="1">
        <v>0</v>
      </c>
      <c r="E344" s="1">
        <v>0</v>
      </c>
      <c r="F344" s="1">
        <v>0</v>
      </c>
      <c r="G344" s="1">
        <v>0</v>
      </c>
      <c r="H344" s="1">
        <v>0</v>
      </c>
      <c r="I344" s="1"/>
      <c r="J344" s="1">
        <v>0</v>
      </c>
      <c r="K344" s="1"/>
    </row>
    <row r="345" spans="1:11" s="4" customFormat="1" x14ac:dyDescent="0.25">
      <c r="A345" s="1">
        <f t="shared" si="11"/>
        <v>50</v>
      </c>
      <c r="B345" s="6">
        <v>44905</v>
      </c>
      <c r="C345" s="39">
        <f t="shared" si="12"/>
        <v>0</v>
      </c>
      <c r="D345" s="1">
        <v>0</v>
      </c>
      <c r="E345" s="1">
        <v>0</v>
      </c>
      <c r="F345" s="1">
        <v>0</v>
      </c>
      <c r="G345" s="1">
        <v>0</v>
      </c>
      <c r="H345" s="1">
        <v>0</v>
      </c>
      <c r="I345" s="1"/>
      <c r="J345" s="1">
        <v>0</v>
      </c>
      <c r="K345" s="1"/>
    </row>
    <row r="346" spans="1:11" s="4" customFormat="1" x14ac:dyDescent="0.25">
      <c r="A346" s="1">
        <f t="shared" si="11"/>
        <v>50</v>
      </c>
      <c r="B346" s="6">
        <v>44906</v>
      </c>
      <c r="C346" s="39">
        <f t="shared" si="12"/>
        <v>0</v>
      </c>
      <c r="D346" s="1">
        <v>0</v>
      </c>
      <c r="E346" s="1">
        <v>0</v>
      </c>
      <c r="F346" s="1">
        <v>0</v>
      </c>
      <c r="G346" s="1">
        <v>0</v>
      </c>
      <c r="H346" s="1">
        <v>0</v>
      </c>
      <c r="I346" s="1"/>
      <c r="J346" s="1">
        <v>0</v>
      </c>
      <c r="K346" s="1"/>
    </row>
    <row r="347" spans="1:11" s="4" customFormat="1" x14ac:dyDescent="0.25">
      <c r="A347" s="1">
        <f t="shared" si="11"/>
        <v>51</v>
      </c>
      <c r="B347" s="6">
        <v>44907</v>
      </c>
      <c r="C347" s="39">
        <f t="shared" si="12"/>
        <v>0</v>
      </c>
      <c r="D347" s="1">
        <v>0</v>
      </c>
      <c r="E347" s="1">
        <v>0</v>
      </c>
      <c r="F347" s="1">
        <v>0</v>
      </c>
      <c r="G347" s="1">
        <v>0</v>
      </c>
      <c r="H347" s="1">
        <v>0</v>
      </c>
      <c r="I347" s="1"/>
      <c r="J347" s="1">
        <v>0</v>
      </c>
      <c r="K347" s="1"/>
    </row>
    <row r="348" spans="1:11" s="4" customFormat="1" x14ac:dyDescent="0.25">
      <c r="A348" s="1">
        <f t="shared" si="11"/>
        <v>51</v>
      </c>
      <c r="B348" s="6">
        <v>44908</v>
      </c>
      <c r="C348" s="39">
        <f t="shared" si="12"/>
        <v>0</v>
      </c>
      <c r="D348" s="1">
        <v>0</v>
      </c>
      <c r="E348" s="1">
        <v>0</v>
      </c>
      <c r="F348" s="1">
        <v>0</v>
      </c>
      <c r="G348" s="1">
        <v>0</v>
      </c>
      <c r="H348" s="1">
        <v>0</v>
      </c>
      <c r="I348" s="1"/>
      <c r="J348" s="1">
        <v>0</v>
      </c>
      <c r="K348" s="1"/>
    </row>
    <row r="349" spans="1:11" s="4" customFormat="1" x14ac:dyDescent="0.25">
      <c r="A349" s="1">
        <f t="shared" si="11"/>
        <v>51</v>
      </c>
      <c r="B349" s="6">
        <v>44909</v>
      </c>
      <c r="C349" s="39">
        <f t="shared" si="12"/>
        <v>0</v>
      </c>
      <c r="D349" s="1">
        <v>0</v>
      </c>
      <c r="E349" s="1">
        <v>0</v>
      </c>
      <c r="F349" s="1">
        <v>0</v>
      </c>
      <c r="G349" s="1">
        <v>0</v>
      </c>
      <c r="H349" s="1">
        <v>0</v>
      </c>
      <c r="I349" s="1"/>
      <c r="J349" s="1">
        <v>0</v>
      </c>
      <c r="K349" s="1"/>
    </row>
    <row r="350" spans="1:11" s="4" customFormat="1" x14ac:dyDescent="0.25">
      <c r="A350" s="1">
        <f t="shared" si="11"/>
        <v>51</v>
      </c>
      <c r="B350" s="6">
        <v>44910</v>
      </c>
      <c r="C350" s="39">
        <f t="shared" si="12"/>
        <v>0</v>
      </c>
      <c r="D350" s="1">
        <v>0</v>
      </c>
      <c r="E350" s="1">
        <v>0</v>
      </c>
      <c r="F350" s="1">
        <v>0</v>
      </c>
      <c r="G350" s="1">
        <v>0</v>
      </c>
      <c r="H350" s="1">
        <v>0</v>
      </c>
      <c r="I350" s="1"/>
      <c r="J350" s="1">
        <v>0</v>
      </c>
      <c r="K350" s="1"/>
    </row>
    <row r="351" spans="1:11" s="4" customFormat="1" x14ac:dyDescent="0.25">
      <c r="A351" s="1">
        <f t="shared" si="11"/>
        <v>51</v>
      </c>
      <c r="B351" s="6">
        <v>44911</v>
      </c>
      <c r="C351" s="39">
        <f t="shared" si="12"/>
        <v>0</v>
      </c>
      <c r="D351" s="1">
        <v>0</v>
      </c>
      <c r="E351" s="1">
        <v>0</v>
      </c>
      <c r="F351" s="1">
        <v>0</v>
      </c>
      <c r="G351" s="1">
        <v>0</v>
      </c>
      <c r="H351" s="1">
        <v>0</v>
      </c>
      <c r="I351" s="1"/>
      <c r="J351" s="1">
        <v>0</v>
      </c>
      <c r="K351" s="1"/>
    </row>
    <row r="352" spans="1:11" s="4" customFormat="1" x14ac:dyDescent="0.25">
      <c r="A352" s="1">
        <f t="shared" si="11"/>
        <v>51</v>
      </c>
      <c r="B352" s="6">
        <v>44912</v>
      </c>
      <c r="C352" s="39">
        <f t="shared" si="12"/>
        <v>0</v>
      </c>
      <c r="D352" s="1">
        <v>0</v>
      </c>
      <c r="E352" s="1">
        <v>0</v>
      </c>
      <c r="F352" s="1">
        <v>0</v>
      </c>
      <c r="G352" s="1">
        <v>0</v>
      </c>
      <c r="H352" s="1">
        <v>0</v>
      </c>
      <c r="I352" s="1"/>
      <c r="J352" s="1">
        <v>0</v>
      </c>
      <c r="K352" s="1"/>
    </row>
    <row r="353" spans="1:12" s="4" customFormat="1" x14ac:dyDescent="0.25">
      <c r="A353" s="1">
        <f t="shared" si="11"/>
        <v>51</v>
      </c>
      <c r="B353" s="6">
        <v>44913</v>
      </c>
      <c r="C353" s="39">
        <f t="shared" si="12"/>
        <v>0</v>
      </c>
      <c r="D353" s="1">
        <v>0</v>
      </c>
      <c r="E353" s="1">
        <v>0</v>
      </c>
      <c r="F353" s="1">
        <v>0</v>
      </c>
      <c r="G353" s="1">
        <v>0</v>
      </c>
      <c r="H353" s="1">
        <v>0</v>
      </c>
      <c r="I353" s="1"/>
      <c r="J353" s="1">
        <v>0</v>
      </c>
      <c r="K353" s="1"/>
    </row>
    <row r="354" spans="1:12" s="4" customFormat="1" x14ac:dyDescent="0.25">
      <c r="A354" s="1">
        <f t="shared" si="11"/>
        <v>52</v>
      </c>
      <c r="B354" s="6">
        <v>44914</v>
      </c>
      <c r="C354" s="39">
        <f t="shared" si="12"/>
        <v>0</v>
      </c>
      <c r="D354" s="1">
        <v>0</v>
      </c>
      <c r="E354" s="1">
        <v>0</v>
      </c>
      <c r="F354" s="1">
        <v>0</v>
      </c>
      <c r="G354" s="1">
        <v>0</v>
      </c>
      <c r="H354" s="1">
        <v>0</v>
      </c>
      <c r="I354" s="1"/>
      <c r="J354" s="1">
        <v>0</v>
      </c>
      <c r="K354" s="1"/>
    </row>
    <row r="355" spans="1:12" s="4" customFormat="1" x14ac:dyDescent="0.25">
      <c r="A355" s="1">
        <f t="shared" si="11"/>
        <v>52</v>
      </c>
      <c r="B355" s="6">
        <v>44915</v>
      </c>
      <c r="C355" s="39">
        <f t="shared" si="12"/>
        <v>0</v>
      </c>
      <c r="D355" s="1">
        <v>0</v>
      </c>
      <c r="E355" s="1">
        <v>0</v>
      </c>
      <c r="F355" s="1">
        <v>0</v>
      </c>
      <c r="G355" s="1">
        <v>0</v>
      </c>
      <c r="H355" s="1">
        <v>0</v>
      </c>
      <c r="I355" s="1"/>
      <c r="J355" s="1">
        <v>0</v>
      </c>
      <c r="K355" s="1"/>
    </row>
    <row r="356" spans="1:12" s="4" customFormat="1" x14ac:dyDescent="0.25">
      <c r="A356" s="1">
        <f t="shared" si="11"/>
        <v>52</v>
      </c>
      <c r="B356" s="6">
        <v>44916</v>
      </c>
      <c r="C356" s="39">
        <f t="shared" si="12"/>
        <v>0</v>
      </c>
      <c r="D356" s="1">
        <v>0</v>
      </c>
      <c r="E356" s="1">
        <v>0</v>
      </c>
      <c r="F356" s="1">
        <v>0</v>
      </c>
      <c r="G356" s="1">
        <v>0</v>
      </c>
      <c r="H356" s="1">
        <v>0</v>
      </c>
      <c r="I356" s="1"/>
      <c r="J356" s="1">
        <v>0</v>
      </c>
      <c r="K356" s="1"/>
    </row>
    <row r="357" spans="1:12" s="4" customFormat="1" x14ac:dyDescent="0.25">
      <c r="A357" s="1">
        <f t="shared" si="11"/>
        <v>52</v>
      </c>
      <c r="B357" s="6">
        <v>44917</v>
      </c>
      <c r="C357" s="39">
        <f t="shared" si="12"/>
        <v>0</v>
      </c>
      <c r="D357" s="1">
        <v>0</v>
      </c>
      <c r="E357" s="1">
        <v>0</v>
      </c>
      <c r="F357" s="1">
        <v>0</v>
      </c>
      <c r="G357" s="1">
        <v>0</v>
      </c>
      <c r="H357" s="1">
        <v>0</v>
      </c>
      <c r="I357" s="1"/>
      <c r="J357" s="1">
        <v>0</v>
      </c>
      <c r="K357" s="1"/>
    </row>
    <row r="358" spans="1:12" s="4" customFormat="1" x14ac:dyDescent="0.25">
      <c r="A358" s="1">
        <f t="shared" si="11"/>
        <v>52</v>
      </c>
      <c r="B358" s="6">
        <v>44918</v>
      </c>
      <c r="C358" s="39">
        <f t="shared" si="12"/>
        <v>0</v>
      </c>
      <c r="D358" s="1">
        <v>0</v>
      </c>
      <c r="E358" s="1">
        <v>0</v>
      </c>
      <c r="F358" s="1">
        <v>0</v>
      </c>
      <c r="G358" s="1">
        <v>0</v>
      </c>
      <c r="H358" s="1">
        <v>0</v>
      </c>
      <c r="I358" s="1"/>
      <c r="J358" s="1">
        <v>0</v>
      </c>
      <c r="K358" s="1"/>
    </row>
    <row r="359" spans="1:12" s="4" customFormat="1" x14ac:dyDescent="0.25">
      <c r="A359" s="1">
        <f t="shared" si="11"/>
        <v>52</v>
      </c>
      <c r="B359" s="6">
        <v>44919</v>
      </c>
      <c r="C359" s="39">
        <f t="shared" si="12"/>
        <v>0</v>
      </c>
      <c r="D359" s="1">
        <v>0</v>
      </c>
      <c r="E359" s="1">
        <v>0</v>
      </c>
      <c r="F359" s="1">
        <v>0</v>
      </c>
      <c r="G359" s="1">
        <v>0</v>
      </c>
      <c r="H359" s="1">
        <v>0</v>
      </c>
      <c r="I359" s="1"/>
      <c r="J359" s="1">
        <v>0</v>
      </c>
      <c r="K359" s="1"/>
    </row>
    <row r="360" spans="1:12" s="4" customFormat="1" x14ac:dyDescent="0.25">
      <c r="A360" s="1">
        <f t="shared" si="11"/>
        <v>52</v>
      </c>
      <c r="B360" s="6">
        <v>44920</v>
      </c>
      <c r="C360" s="39">
        <f t="shared" si="12"/>
        <v>0</v>
      </c>
      <c r="D360" s="1">
        <v>0</v>
      </c>
      <c r="E360" s="1">
        <v>0</v>
      </c>
      <c r="F360" s="1">
        <v>0</v>
      </c>
      <c r="G360" s="1">
        <v>0</v>
      </c>
      <c r="H360" s="1">
        <v>0</v>
      </c>
      <c r="I360" s="1"/>
      <c r="J360" s="1">
        <v>0</v>
      </c>
      <c r="K360" s="1"/>
    </row>
    <row r="361" spans="1:12" s="4" customFormat="1" x14ac:dyDescent="0.25">
      <c r="A361" s="1">
        <f t="shared" si="11"/>
        <v>53</v>
      </c>
      <c r="B361" s="6">
        <v>44921</v>
      </c>
      <c r="C361" s="39">
        <f t="shared" si="12"/>
        <v>0</v>
      </c>
      <c r="D361" s="1">
        <v>0</v>
      </c>
      <c r="E361" s="1">
        <v>0</v>
      </c>
      <c r="F361" s="1">
        <v>0</v>
      </c>
      <c r="G361" s="1">
        <v>0</v>
      </c>
      <c r="H361" s="1">
        <v>0</v>
      </c>
      <c r="I361" s="1"/>
      <c r="J361" s="1">
        <v>0</v>
      </c>
      <c r="K361" s="1"/>
    </row>
    <row r="362" spans="1:12" s="4" customFormat="1" x14ac:dyDescent="0.25">
      <c r="A362" s="1">
        <f t="shared" si="11"/>
        <v>53</v>
      </c>
      <c r="B362" s="6">
        <v>44922</v>
      </c>
      <c r="C362" s="39">
        <f t="shared" si="12"/>
        <v>0</v>
      </c>
      <c r="D362" s="1">
        <v>0</v>
      </c>
      <c r="E362" s="1">
        <v>0</v>
      </c>
      <c r="F362" s="1">
        <v>0</v>
      </c>
      <c r="G362" s="1">
        <v>0</v>
      </c>
      <c r="H362" s="1">
        <v>0</v>
      </c>
      <c r="I362" s="1"/>
      <c r="J362" s="1">
        <v>0</v>
      </c>
      <c r="K362" s="1"/>
    </row>
    <row r="363" spans="1:12" s="4" customFormat="1" x14ac:dyDescent="0.25">
      <c r="A363" s="1">
        <f t="shared" si="11"/>
        <v>53</v>
      </c>
      <c r="B363" s="6">
        <v>44923</v>
      </c>
      <c r="C363" s="39">
        <f t="shared" si="12"/>
        <v>0</v>
      </c>
      <c r="D363" s="1">
        <v>0</v>
      </c>
      <c r="E363" s="1">
        <v>0</v>
      </c>
      <c r="F363" s="1">
        <v>0</v>
      </c>
      <c r="G363" s="1">
        <v>0</v>
      </c>
      <c r="H363" s="1">
        <v>0</v>
      </c>
      <c r="I363" s="1"/>
      <c r="J363" s="1">
        <v>0</v>
      </c>
      <c r="K363" s="1"/>
    </row>
    <row r="364" spans="1:12" s="4" customFormat="1" x14ac:dyDescent="0.25">
      <c r="A364" s="1">
        <f t="shared" si="11"/>
        <v>53</v>
      </c>
      <c r="B364" s="6">
        <v>44924</v>
      </c>
      <c r="C364" s="39">
        <f t="shared" si="12"/>
        <v>0</v>
      </c>
      <c r="D364" s="1">
        <v>0</v>
      </c>
      <c r="E364" s="1">
        <v>0</v>
      </c>
      <c r="F364" s="1">
        <v>0</v>
      </c>
      <c r="G364" s="1">
        <v>0</v>
      </c>
      <c r="H364" s="1">
        <v>0</v>
      </c>
      <c r="I364" s="1"/>
      <c r="J364" s="1">
        <v>0</v>
      </c>
      <c r="K364" s="1"/>
    </row>
    <row r="365" spans="1:12" s="4" customFormat="1" x14ac:dyDescent="0.25">
      <c r="A365" s="18">
        <f t="shared" si="11"/>
        <v>53</v>
      </c>
      <c r="B365" s="6">
        <v>44925</v>
      </c>
      <c r="C365" s="39">
        <f t="shared" si="12"/>
        <v>0</v>
      </c>
      <c r="D365" s="1">
        <v>0</v>
      </c>
      <c r="E365" s="1">
        <v>0</v>
      </c>
      <c r="F365" s="1">
        <v>0</v>
      </c>
      <c r="G365" s="1">
        <v>0</v>
      </c>
      <c r="H365" s="1">
        <v>0</v>
      </c>
      <c r="I365" s="1"/>
      <c r="J365" s="1">
        <v>0</v>
      </c>
      <c r="K365" s="1"/>
    </row>
    <row r="366" spans="1:12" s="4" customFormat="1" x14ac:dyDescent="0.25">
      <c r="B366" s="6">
        <v>44926</v>
      </c>
      <c r="C366" s="39">
        <f t="shared" si="12"/>
        <v>0</v>
      </c>
      <c r="D366" s="1">
        <v>0</v>
      </c>
      <c r="E366" s="1">
        <v>0</v>
      </c>
      <c r="F366" s="1">
        <v>0</v>
      </c>
      <c r="G366" s="1">
        <v>0</v>
      </c>
      <c r="H366" s="1">
        <v>0</v>
      </c>
      <c r="I366" s="1"/>
      <c r="J366" s="1">
        <v>0</v>
      </c>
      <c r="K366" s="1"/>
      <c r="L366" s="4">
        <f>SUM(C336:C366)</f>
        <v>0</v>
      </c>
    </row>
    <row r="367" spans="1:12" ht="30" x14ac:dyDescent="0.25">
      <c r="B367" s="27" t="s">
        <v>20</v>
      </c>
      <c r="C367" s="35"/>
      <c r="D367" s="3">
        <f>SUM(D2:D366)</f>
        <v>1157.45</v>
      </c>
      <c r="E367" s="3">
        <f t="shared" ref="E367:L367" si="13">SUM(E2:E366)</f>
        <v>1169.75</v>
      </c>
      <c r="F367" s="3">
        <f t="shared" si="13"/>
        <v>1129.8000000000002</v>
      </c>
      <c r="G367" s="3">
        <f t="shared" si="13"/>
        <v>1294.4800000000002</v>
      </c>
      <c r="H367" s="3">
        <f t="shared" si="13"/>
        <v>0</v>
      </c>
      <c r="I367" s="3"/>
      <c r="J367" s="3">
        <f t="shared" si="13"/>
        <v>1199.3399999999999</v>
      </c>
      <c r="K367" s="3">
        <f t="shared" si="13"/>
        <v>1223.0000000000005</v>
      </c>
      <c r="L367" s="28">
        <f t="shared" si="13"/>
        <v>1254.109880952381</v>
      </c>
    </row>
    <row r="368" spans="1:12" x14ac:dyDescent="0.25">
      <c r="D368" s="18"/>
      <c r="E368" s="18"/>
      <c r="F368" s="18"/>
      <c r="G368" s="18"/>
      <c r="H368" s="18"/>
      <c r="I368" s="18"/>
      <c r="J368" s="18"/>
      <c r="K368" s="18"/>
    </row>
    <row r="369" spans="4:11" x14ac:dyDescent="0.25">
      <c r="D369" s="4"/>
      <c r="E369" s="4"/>
      <c r="F369" s="4"/>
      <c r="G369" s="4"/>
      <c r="H369" s="4"/>
      <c r="I369" s="4"/>
      <c r="J369" s="4"/>
      <c r="K369" s="4"/>
    </row>
    <row r="370" spans="4:11" x14ac:dyDescent="0.25">
      <c r="D370" s="4"/>
      <c r="E370" s="4"/>
      <c r="F370" s="4"/>
      <c r="G370" s="4"/>
      <c r="H370" s="4"/>
      <c r="I370" s="4"/>
      <c r="J370" s="4"/>
      <c r="K370" s="4"/>
    </row>
    <row r="371" spans="4:11" x14ac:dyDescent="0.25">
      <c r="D371" s="4"/>
      <c r="E371" s="4"/>
      <c r="F371" s="4"/>
      <c r="G371" s="4"/>
      <c r="H371" s="4"/>
      <c r="I371" s="4"/>
      <c r="J371" s="4"/>
      <c r="K371" s="4"/>
    </row>
    <row r="372" spans="4:11" x14ac:dyDescent="0.25">
      <c r="D372" s="4"/>
      <c r="E372" s="4"/>
      <c r="F372" s="4"/>
      <c r="G372" s="4"/>
      <c r="H372" s="4"/>
      <c r="I372" s="4"/>
      <c r="J372" s="4"/>
      <c r="K372" s="4"/>
    </row>
    <row r="373" spans="4:11" x14ac:dyDescent="0.25">
      <c r="D373" s="4"/>
      <c r="E373" s="4"/>
      <c r="F373" s="4"/>
      <c r="G373" s="4"/>
      <c r="H373" s="4"/>
      <c r="I373" s="4"/>
      <c r="J373" s="4"/>
      <c r="K373" s="4"/>
    </row>
    <row r="374" spans="4:11" x14ac:dyDescent="0.25">
      <c r="D374" s="4"/>
      <c r="E374" s="4"/>
      <c r="F374" s="4"/>
      <c r="G374" s="4"/>
      <c r="H374" s="4"/>
      <c r="I374" s="4"/>
      <c r="J374" s="4"/>
      <c r="K374" s="4"/>
    </row>
    <row r="375" spans="4:11" x14ac:dyDescent="0.25">
      <c r="D375" s="4"/>
      <c r="E375" s="4"/>
      <c r="F375" s="4"/>
      <c r="G375" s="4"/>
      <c r="H375" s="4"/>
      <c r="I375" s="4"/>
      <c r="J375" s="4"/>
      <c r="K375" s="4"/>
    </row>
    <row r="376" spans="4:11" x14ac:dyDescent="0.25">
      <c r="D376" s="4"/>
      <c r="E376" s="4"/>
      <c r="F376" s="4"/>
      <c r="G376" s="4"/>
      <c r="H376" s="4"/>
      <c r="I376" s="4"/>
      <c r="J376" s="4"/>
      <c r="K376" s="4"/>
    </row>
    <row r="377" spans="4:11" x14ac:dyDescent="0.25">
      <c r="D377" s="4"/>
      <c r="E377" s="4"/>
      <c r="F377" s="4"/>
      <c r="G377" s="4"/>
      <c r="H377" s="4"/>
      <c r="I377" s="4"/>
      <c r="J377" s="4"/>
      <c r="K377" s="4"/>
    </row>
    <row r="378" spans="4:11" x14ac:dyDescent="0.25">
      <c r="D378" s="4"/>
      <c r="E378" s="4"/>
      <c r="F378" s="4"/>
      <c r="G378" s="4"/>
      <c r="H378" s="4"/>
      <c r="I378" s="4"/>
      <c r="J378" s="4"/>
      <c r="K378" s="4"/>
    </row>
    <row r="379" spans="4:11" x14ac:dyDescent="0.25">
      <c r="D379" s="4"/>
      <c r="E379" s="4"/>
      <c r="F379" s="4"/>
      <c r="G379" s="4"/>
      <c r="H379" s="4"/>
      <c r="I379" s="4"/>
      <c r="J379" s="4"/>
      <c r="K379" s="4"/>
    </row>
    <row r="380" spans="4:11" x14ac:dyDescent="0.25">
      <c r="D380" s="4"/>
      <c r="E380" s="4"/>
      <c r="F380" s="4"/>
      <c r="G380" s="4"/>
      <c r="H380" s="4"/>
      <c r="I380" s="4"/>
      <c r="J380" s="4"/>
      <c r="K380" s="4"/>
    </row>
    <row r="381" spans="4:11" x14ac:dyDescent="0.25">
      <c r="D381" s="4"/>
      <c r="E381" s="4"/>
      <c r="F381" s="4"/>
      <c r="G381" s="4"/>
      <c r="H381" s="4"/>
      <c r="I381" s="4"/>
      <c r="J381" s="4"/>
      <c r="K381" s="4"/>
    </row>
    <row r="382" spans="4:11" x14ac:dyDescent="0.25">
      <c r="D382" s="4"/>
      <c r="E382" s="4"/>
      <c r="F382" s="4"/>
      <c r="G382" s="4"/>
      <c r="H382" s="4"/>
      <c r="I382" s="4"/>
      <c r="J382" s="4"/>
      <c r="K382" s="4"/>
    </row>
    <row r="383" spans="4:11" x14ac:dyDescent="0.25">
      <c r="D383" s="4"/>
      <c r="E383" s="4"/>
      <c r="F383" s="4"/>
      <c r="G383" s="4"/>
      <c r="H383" s="4"/>
      <c r="I383" s="4"/>
      <c r="J383" s="4"/>
      <c r="K383" s="4"/>
    </row>
    <row r="384" spans="4:11" x14ac:dyDescent="0.25">
      <c r="D384" s="4"/>
      <c r="E384" s="4"/>
      <c r="F384" s="4"/>
      <c r="G384" s="4"/>
      <c r="H384" s="4"/>
      <c r="I384" s="4"/>
      <c r="J384" s="4"/>
      <c r="K384" s="4"/>
    </row>
    <row r="385" spans="4:11" x14ac:dyDescent="0.25">
      <c r="D385" s="4"/>
      <c r="E385" s="4"/>
      <c r="F385" s="4"/>
      <c r="G385" s="4"/>
      <c r="H385" s="4"/>
      <c r="I385" s="4"/>
      <c r="J385" s="4"/>
      <c r="K385" s="4"/>
    </row>
    <row r="386" spans="4:11" x14ac:dyDescent="0.25">
      <c r="D386" s="4"/>
      <c r="E386" s="4"/>
      <c r="F386" s="4"/>
      <c r="G386" s="4"/>
      <c r="H386" s="4"/>
      <c r="I386" s="4"/>
      <c r="J386" s="4"/>
      <c r="K386" s="4"/>
    </row>
    <row r="387" spans="4:11" x14ac:dyDescent="0.25">
      <c r="D387" s="4"/>
      <c r="E387" s="4"/>
      <c r="F387" s="4"/>
      <c r="G387" s="4"/>
      <c r="H387" s="4"/>
      <c r="I387" s="4"/>
      <c r="J387" s="4"/>
      <c r="K387" s="4"/>
    </row>
    <row r="388" spans="4:11" x14ac:dyDescent="0.25">
      <c r="D388" s="4"/>
      <c r="E388" s="4"/>
      <c r="F388" s="4"/>
      <c r="G388" s="4"/>
      <c r="H388" s="4"/>
      <c r="I388" s="4"/>
      <c r="J388" s="4"/>
      <c r="K388" s="4"/>
    </row>
    <row r="389" spans="4:11" x14ac:dyDescent="0.25">
      <c r="D389" s="4"/>
      <c r="E389" s="4"/>
      <c r="F389" s="4"/>
      <c r="G389" s="4"/>
      <c r="H389" s="4"/>
      <c r="I389" s="4"/>
      <c r="J389" s="4"/>
      <c r="K389" s="4"/>
    </row>
    <row r="390" spans="4:11" x14ac:dyDescent="0.25">
      <c r="D390" s="4"/>
      <c r="E390" s="4"/>
      <c r="F390" s="4"/>
      <c r="G390" s="4"/>
      <c r="H390" s="4"/>
      <c r="I390" s="4"/>
      <c r="J390" s="4"/>
      <c r="K390" s="4"/>
    </row>
    <row r="391" spans="4:11" x14ac:dyDescent="0.25">
      <c r="D391" s="4"/>
      <c r="E391" s="4"/>
      <c r="F391" s="4"/>
      <c r="G391" s="4"/>
      <c r="H391" s="4"/>
      <c r="I391" s="4"/>
      <c r="J391" s="4"/>
      <c r="K391" s="4"/>
    </row>
    <row r="392" spans="4:11" x14ac:dyDescent="0.25">
      <c r="D392" s="4"/>
      <c r="E392" s="4"/>
      <c r="F392" s="4"/>
      <c r="G392" s="4"/>
      <c r="H392" s="4"/>
      <c r="I392" s="4"/>
      <c r="J392" s="4"/>
      <c r="K392" s="4"/>
    </row>
    <row r="393" spans="4:11" x14ac:dyDescent="0.25">
      <c r="D393" s="4"/>
      <c r="E393" s="4"/>
      <c r="F393" s="4"/>
      <c r="G393" s="4"/>
      <c r="H393" s="4"/>
      <c r="I393" s="4"/>
      <c r="J393" s="4"/>
      <c r="K393" s="4"/>
    </row>
    <row r="394" spans="4:11" x14ac:dyDescent="0.25">
      <c r="D394" s="4"/>
      <c r="E394" s="4"/>
      <c r="F394" s="4"/>
      <c r="G394" s="4"/>
      <c r="H394" s="4"/>
      <c r="I394" s="4"/>
      <c r="J394" s="4"/>
      <c r="K394" s="4"/>
    </row>
    <row r="395" spans="4:11" x14ac:dyDescent="0.25">
      <c r="D395" s="4"/>
      <c r="E395" s="4"/>
      <c r="F395" s="4"/>
      <c r="G395" s="4"/>
      <c r="H395" s="4"/>
      <c r="I395" s="4"/>
      <c r="J395" s="4"/>
      <c r="K395" s="4"/>
    </row>
    <row r="396" spans="4:11" x14ac:dyDescent="0.25">
      <c r="D396" s="4"/>
      <c r="E396" s="4"/>
      <c r="F396" s="4"/>
      <c r="G396" s="4"/>
      <c r="H396" s="4"/>
      <c r="I396" s="4"/>
      <c r="J396" s="4"/>
      <c r="K396" s="4"/>
    </row>
    <row r="397" spans="4:11" x14ac:dyDescent="0.25">
      <c r="D397" s="4"/>
      <c r="E397" s="4"/>
      <c r="F397" s="4"/>
      <c r="G397" s="4"/>
      <c r="H397" s="4"/>
      <c r="I397" s="4"/>
      <c r="J397" s="4"/>
      <c r="K397" s="4"/>
    </row>
    <row r="398" spans="4:11" x14ac:dyDescent="0.25">
      <c r="D398" s="4"/>
      <c r="E398" s="4"/>
      <c r="F398" s="4"/>
      <c r="G398" s="4"/>
      <c r="H398" s="4"/>
      <c r="I398" s="4"/>
      <c r="J398" s="4"/>
      <c r="K398" s="4"/>
    </row>
    <row r="399" spans="4:11" x14ac:dyDescent="0.25">
      <c r="D399" s="4"/>
      <c r="E399" s="4"/>
      <c r="F399" s="4"/>
      <c r="G399" s="4"/>
      <c r="H399" s="4"/>
      <c r="I399" s="4"/>
      <c r="J399" s="4"/>
      <c r="K399" s="4"/>
    </row>
    <row r="400" spans="4:11" x14ac:dyDescent="0.25">
      <c r="D400" s="4"/>
      <c r="E400" s="4"/>
      <c r="F400" s="4"/>
      <c r="G400" s="4"/>
      <c r="H400" s="4"/>
      <c r="I400" s="4"/>
      <c r="J400" s="4"/>
      <c r="K400" s="4"/>
    </row>
    <row r="401" spans="4:11" x14ac:dyDescent="0.25">
      <c r="D401" s="4"/>
      <c r="E401" s="4"/>
      <c r="F401" s="4"/>
      <c r="G401" s="4"/>
      <c r="H401" s="4"/>
      <c r="I401" s="4"/>
      <c r="J401" s="4"/>
      <c r="K401" s="4"/>
    </row>
    <row r="402" spans="4:11" x14ac:dyDescent="0.25">
      <c r="D402" s="4"/>
      <c r="E402" s="4"/>
      <c r="F402" s="4"/>
      <c r="G402" s="4"/>
      <c r="H402" s="4"/>
      <c r="I402" s="4"/>
      <c r="J402" s="4"/>
      <c r="K402" s="4"/>
    </row>
    <row r="403" spans="4:11" x14ac:dyDescent="0.25">
      <c r="D403" s="4"/>
      <c r="E403" s="4"/>
      <c r="F403" s="4"/>
      <c r="G403" s="4"/>
      <c r="H403" s="4"/>
      <c r="I403" s="4"/>
      <c r="J403" s="4"/>
      <c r="K403" s="4"/>
    </row>
    <row r="404" spans="4:11" x14ac:dyDescent="0.25">
      <c r="D404" s="4"/>
      <c r="E404" s="4"/>
      <c r="F404" s="4"/>
      <c r="G404" s="4"/>
      <c r="H404" s="4"/>
      <c r="I404" s="4"/>
      <c r="J404" s="4"/>
      <c r="K404" s="4"/>
    </row>
    <row r="405" spans="4:11" x14ac:dyDescent="0.25">
      <c r="D405" s="4"/>
      <c r="E405" s="4"/>
      <c r="F405" s="4"/>
      <c r="G405" s="4"/>
      <c r="H405" s="4"/>
      <c r="I405" s="4"/>
      <c r="J405" s="4"/>
      <c r="K405" s="4"/>
    </row>
    <row r="406" spans="4:11" x14ac:dyDescent="0.25">
      <c r="D406" s="4"/>
      <c r="E406" s="4"/>
      <c r="F406" s="4"/>
      <c r="G406" s="4"/>
      <c r="H406" s="4"/>
      <c r="I406" s="4"/>
      <c r="J406" s="4"/>
      <c r="K406" s="4"/>
    </row>
    <row r="407" spans="4:11" x14ac:dyDescent="0.25">
      <c r="D407" s="4"/>
      <c r="E407" s="4"/>
      <c r="F407" s="4"/>
      <c r="G407" s="4"/>
      <c r="H407" s="4"/>
      <c r="I407" s="4"/>
      <c r="J407" s="4"/>
      <c r="K407" s="4"/>
    </row>
    <row r="408" spans="4:11" x14ac:dyDescent="0.25">
      <c r="D408" s="4"/>
      <c r="E408" s="4"/>
      <c r="F408" s="4"/>
      <c r="G408" s="4"/>
      <c r="H408" s="4"/>
      <c r="I408" s="4"/>
      <c r="J408" s="4"/>
      <c r="K408" s="4"/>
    </row>
    <row r="409" spans="4:11" x14ac:dyDescent="0.25">
      <c r="D409" s="4"/>
      <c r="E409" s="4"/>
      <c r="F409" s="4"/>
      <c r="G409" s="4"/>
      <c r="H409" s="4"/>
      <c r="I409" s="4"/>
      <c r="J409" s="4"/>
      <c r="K409" s="4"/>
    </row>
    <row r="410" spans="4:11" x14ac:dyDescent="0.25">
      <c r="D410" s="4"/>
      <c r="E410" s="4"/>
      <c r="F410" s="4"/>
      <c r="G410" s="4"/>
      <c r="H410" s="4"/>
      <c r="I410" s="4"/>
      <c r="J410" s="4"/>
      <c r="K410" s="4"/>
    </row>
    <row r="411" spans="4:11" x14ac:dyDescent="0.25">
      <c r="D411" s="4"/>
      <c r="E411" s="4"/>
      <c r="F411" s="4"/>
      <c r="G411" s="4"/>
      <c r="H411" s="4"/>
      <c r="I411" s="4"/>
      <c r="J411" s="4"/>
      <c r="K411" s="4"/>
    </row>
    <row r="412" spans="4:11" x14ac:dyDescent="0.25">
      <c r="D412" s="4"/>
      <c r="E412" s="4"/>
      <c r="F412" s="4"/>
      <c r="G412" s="4"/>
      <c r="H412" s="4"/>
      <c r="I412" s="4"/>
      <c r="J412" s="4"/>
      <c r="K412" s="4"/>
    </row>
    <row r="413" spans="4:11" x14ac:dyDescent="0.25">
      <c r="D413" s="4"/>
      <c r="E413" s="4"/>
      <c r="F413" s="4"/>
      <c r="G413" s="4"/>
      <c r="H413" s="4"/>
      <c r="I413" s="4"/>
      <c r="J413" s="4"/>
      <c r="K413" s="4"/>
    </row>
    <row r="414" spans="4:11" x14ac:dyDescent="0.25">
      <c r="D414" s="4"/>
      <c r="E414" s="4"/>
      <c r="F414" s="4"/>
      <c r="G414" s="4"/>
      <c r="H414" s="4"/>
      <c r="I414" s="4"/>
      <c r="J414" s="4"/>
      <c r="K414" s="4"/>
    </row>
    <row r="415" spans="4:11" x14ac:dyDescent="0.25">
      <c r="D415" s="4"/>
      <c r="E415" s="4"/>
      <c r="F415" s="4"/>
      <c r="G415" s="4"/>
      <c r="H415" s="4"/>
      <c r="I415" s="4"/>
      <c r="J415" s="4"/>
      <c r="K415" s="4"/>
    </row>
    <row r="416" spans="4:11" x14ac:dyDescent="0.25">
      <c r="D416" s="4"/>
      <c r="E416" s="4"/>
      <c r="F416" s="4"/>
      <c r="G416" s="4"/>
      <c r="H416" s="4"/>
      <c r="I416" s="4"/>
      <c r="J416" s="4"/>
      <c r="K416" s="4"/>
    </row>
    <row r="417" spans="4:11" x14ac:dyDescent="0.25">
      <c r="D417" s="4"/>
      <c r="E417" s="4"/>
      <c r="F417" s="4"/>
      <c r="G417" s="4"/>
      <c r="H417" s="4"/>
      <c r="I417" s="4"/>
      <c r="J417" s="4"/>
      <c r="K417" s="4"/>
    </row>
    <row r="418" spans="4:11" x14ac:dyDescent="0.25">
      <c r="D418" s="4"/>
      <c r="E418" s="4"/>
      <c r="F418" s="4"/>
      <c r="G418" s="4"/>
      <c r="H418" s="4"/>
      <c r="I418" s="4"/>
      <c r="J418" s="4"/>
      <c r="K418" s="4"/>
    </row>
    <row r="419" spans="4:11" x14ac:dyDescent="0.25">
      <c r="D419" s="4"/>
      <c r="E419" s="4"/>
      <c r="F419" s="4"/>
      <c r="G419" s="4"/>
      <c r="H419" s="4"/>
      <c r="I419" s="4"/>
      <c r="J419" s="4"/>
      <c r="K419" s="4"/>
    </row>
    <row r="420" spans="4:11" x14ac:dyDescent="0.25">
      <c r="D420" s="4"/>
      <c r="E420" s="4"/>
      <c r="F420" s="4"/>
      <c r="G420" s="4"/>
      <c r="H420" s="4"/>
      <c r="I420" s="4"/>
      <c r="J420" s="4"/>
      <c r="K420" s="4"/>
    </row>
    <row r="421" spans="4:11" x14ac:dyDescent="0.25">
      <c r="D421" s="4"/>
      <c r="E421" s="4"/>
      <c r="F421" s="4"/>
      <c r="G421" s="4"/>
      <c r="H421" s="4"/>
      <c r="I421" s="4"/>
      <c r="J421" s="4"/>
      <c r="K421" s="4"/>
    </row>
    <row r="422" spans="4:11" x14ac:dyDescent="0.25">
      <c r="D422" s="4"/>
      <c r="E422" s="4"/>
      <c r="F422" s="4"/>
      <c r="G422" s="4"/>
      <c r="H422" s="4"/>
      <c r="I422" s="4"/>
      <c r="J422" s="4"/>
      <c r="K422" s="4"/>
    </row>
    <row r="423" spans="4:11" x14ac:dyDescent="0.25">
      <c r="D423" s="4"/>
      <c r="E423" s="4"/>
      <c r="F423" s="4"/>
      <c r="G423" s="4"/>
      <c r="H423" s="4"/>
      <c r="I423" s="4"/>
      <c r="J423" s="4"/>
      <c r="K423" s="4"/>
    </row>
    <row r="424" spans="4:11" x14ac:dyDescent="0.25">
      <c r="D424" s="4"/>
      <c r="E424" s="4"/>
      <c r="F424" s="4"/>
      <c r="G424" s="4"/>
      <c r="H424" s="4"/>
      <c r="I424" s="4"/>
      <c r="J424" s="4"/>
      <c r="K424" s="4"/>
    </row>
    <row r="425" spans="4:11" x14ac:dyDescent="0.25">
      <c r="D425" s="4"/>
      <c r="E425" s="4"/>
      <c r="F425" s="4"/>
      <c r="G425" s="4"/>
      <c r="H425" s="4"/>
      <c r="I425" s="4"/>
      <c r="J425" s="4"/>
      <c r="K425" s="4"/>
    </row>
    <row r="426" spans="4:11" x14ac:dyDescent="0.25">
      <c r="D426" s="4"/>
      <c r="E426" s="4"/>
      <c r="F426" s="4"/>
      <c r="G426" s="4"/>
      <c r="H426" s="4"/>
      <c r="I426" s="4"/>
      <c r="J426" s="4"/>
      <c r="K426" s="4"/>
    </row>
    <row r="427" spans="4:11" x14ac:dyDescent="0.25">
      <c r="D427" s="4"/>
      <c r="E427" s="4"/>
      <c r="F427" s="4"/>
      <c r="G427" s="4"/>
      <c r="H427" s="4"/>
      <c r="I427" s="4"/>
      <c r="J427" s="4"/>
      <c r="K427" s="4"/>
    </row>
    <row r="428" spans="4:11" x14ac:dyDescent="0.25">
      <c r="D428" s="4"/>
      <c r="E428" s="4"/>
      <c r="F428" s="4"/>
      <c r="G428" s="4"/>
      <c r="H428" s="4"/>
      <c r="I428" s="4"/>
      <c r="J428" s="4"/>
      <c r="K428" s="4"/>
    </row>
    <row r="429" spans="4:11" x14ac:dyDescent="0.25">
      <c r="D429" s="4"/>
      <c r="E429" s="4"/>
      <c r="F429" s="4"/>
      <c r="G429" s="4"/>
      <c r="H429" s="4"/>
      <c r="I429" s="4"/>
      <c r="J429" s="4"/>
      <c r="K429" s="4"/>
    </row>
    <row r="430" spans="4:11" x14ac:dyDescent="0.25">
      <c r="D430" s="4"/>
      <c r="E430" s="4"/>
      <c r="F430" s="4"/>
      <c r="G430" s="4"/>
      <c r="H430" s="4"/>
      <c r="I430" s="4"/>
      <c r="J430" s="4"/>
      <c r="K430" s="4"/>
    </row>
    <row r="431" spans="4:11" x14ac:dyDescent="0.25">
      <c r="D431" s="4"/>
      <c r="E431" s="4"/>
      <c r="F431" s="4"/>
      <c r="G431" s="4"/>
      <c r="H431" s="4"/>
      <c r="I431" s="4"/>
      <c r="J431" s="4"/>
      <c r="K431" s="4"/>
    </row>
    <row r="432" spans="4:11" x14ac:dyDescent="0.25">
      <c r="D432" s="4"/>
      <c r="E432" s="4"/>
      <c r="F432" s="4"/>
      <c r="G432" s="4"/>
      <c r="H432" s="4"/>
      <c r="I432" s="4"/>
      <c r="J432" s="4"/>
      <c r="K432" s="4"/>
    </row>
    <row r="433" spans="4:11" x14ac:dyDescent="0.25">
      <c r="D433" s="4"/>
      <c r="E433" s="4"/>
      <c r="F433" s="4"/>
      <c r="G433" s="4"/>
      <c r="H433" s="4"/>
      <c r="I433" s="4"/>
      <c r="J433" s="4"/>
      <c r="K433" s="4"/>
    </row>
    <row r="434" spans="4:11" x14ac:dyDescent="0.25">
      <c r="D434" s="4"/>
      <c r="E434" s="4"/>
      <c r="F434" s="4"/>
      <c r="G434" s="4"/>
      <c r="H434" s="4"/>
      <c r="I434" s="4"/>
      <c r="J434" s="4"/>
      <c r="K434" s="4"/>
    </row>
    <row r="435" spans="4:11" x14ac:dyDescent="0.25">
      <c r="D435" s="4"/>
      <c r="E435" s="4"/>
      <c r="F435" s="4"/>
      <c r="G435" s="4"/>
      <c r="H435" s="4"/>
      <c r="I435" s="4"/>
      <c r="J435" s="4"/>
      <c r="K435" s="4"/>
    </row>
    <row r="436" spans="4:11" x14ac:dyDescent="0.25">
      <c r="D436" s="4"/>
      <c r="E436" s="4"/>
      <c r="F436" s="4"/>
      <c r="G436" s="4"/>
      <c r="H436" s="4"/>
      <c r="I436" s="4"/>
      <c r="J436" s="4"/>
      <c r="K436" s="4"/>
    </row>
    <row r="437" spans="4:11" x14ac:dyDescent="0.25">
      <c r="D437" s="4"/>
      <c r="E437" s="4"/>
      <c r="F437" s="4"/>
      <c r="G437" s="4"/>
      <c r="H437" s="4"/>
      <c r="I437" s="4"/>
      <c r="J437" s="4"/>
      <c r="K437" s="4"/>
    </row>
    <row r="438" spans="4:11" x14ac:dyDescent="0.25">
      <c r="D438" s="4"/>
      <c r="E438" s="4"/>
      <c r="F438" s="4"/>
      <c r="G438" s="4"/>
      <c r="H438" s="4"/>
      <c r="I438" s="4"/>
      <c r="J438" s="4"/>
      <c r="K438" s="4"/>
    </row>
    <row r="439" spans="4:11" x14ac:dyDescent="0.25">
      <c r="D439" s="4"/>
      <c r="E439" s="4"/>
      <c r="F439" s="4"/>
      <c r="G439" s="4"/>
      <c r="H439" s="4"/>
      <c r="I439" s="4"/>
      <c r="J439" s="4"/>
      <c r="K439" s="4"/>
    </row>
    <row r="440" spans="4:11" x14ac:dyDescent="0.25">
      <c r="D440" s="4"/>
      <c r="E440" s="4"/>
      <c r="F440" s="4"/>
      <c r="G440" s="4"/>
      <c r="H440" s="4"/>
      <c r="I440" s="4"/>
      <c r="J440" s="4"/>
      <c r="K440" s="4"/>
    </row>
    <row r="441" spans="4:11" x14ac:dyDescent="0.25">
      <c r="D441" s="4"/>
      <c r="E441" s="4"/>
      <c r="F441" s="4"/>
      <c r="G441" s="4"/>
      <c r="H441" s="4"/>
      <c r="I441" s="4"/>
      <c r="J441" s="4"/>
      <c r="K441" s="4"/>
    </row>
    <row r="442" spans="4:11" x14ac:dyDescent="0.25">
      <c r="D442" s="4"/>
      <c r="E442" s="4"/>
      <c r="F442" s="4"/>
      <c r="G442" s="4"/>
      <c r="H442" s="4"/>
      <c r="I442" s="4"/>
      <c r="J442" s="4"/>
      <c r="K442" s="4"/>
    </row>
    <row r="443" spans="4:11" x14ac:dyDescent="0.25">
      <c r="D443" s="4"/>
      <c r="E443" s="4"/>
      <c r="F443" s="4"/>
      <c r="G443" s="4"/>
      <c r="H443" s="4"/>
      <c r="I443" s="4"/>
      <c r="J443" s="4"/>
      <c r="K443" s="4"/>
    </row>
    <row r="444" spans="4:11" x14ac:dyDescent="0.25">
      <c r="D444" s="4"/>
      <c r="E444" s="4"/>
      <c r="F444" s="4"/>
      <c r="G444" s="4"/>
      <c r="H444" s="4"/>
      <c r="I444" s="4"/>
      <c r="J444" s="4"/>
      <c r="K444" s="4"/>
    </row>
    <row r="445" spans="4:11" x14ac:dyDescent="0.25">
      <c r="D445" s="4"/>
      <c r="E445" s="4"/>
      <c r="F445" s="4"/>
      <c r="G445" s="4"/>
      <c r="H445" s="4"/>
      <c r="I445" s="4"/>
      <c r="J445" s="4"/>
      <c r="K445" s="4"/>
    </row>
    <row r="446" spans="4:11" x14ac:dyDescent="0.25">
      <c r="D446" s="4"/>
      <c r="E446" s="4"/>
      <c r="F446" s="4"/>
      <c r="G446" s="4"/>
      <c r="H446" s="4"/>
      <c r="I446" s="4"/>
      <c r="J446" s="4"/>
      <c r="K446" s="4"/>
    </row>
    <row r="447" spans="4:11" x14ac:dyDescent="0.25">
      <c r="D447" s="4"/>
      <c r="E447" s="4"/>
      <c r="F447" s="4"/>
      <c r="G447" s="4"/>
      <c r="H447" s="4"/>
      <c r="I447" s="4"/>
      <c r="J447" s="4"/>
      <c r="K447" s="4"/>
    </row>
    <row r="448" spans="4:11" x14ac:dyDescent="0.25">
      <c r="D448" s="4"/>
      <c r="E448" s="4"/>
      <c r="F448" s="4"/>
      <c r="G448" s="4"/>
      <c r="H448" s="4"/>
      <c r="I448" s="4"/>
      <c r="J448" s="4"/>
      <c r="K448" s="4"/>
    </row>
    <row r="449" spans="4:11" x14ac:dyDescent="0.25">
      <c r="D449" s="4"/>
      <c r="E449" s="4"/>
      <c r="F449" s="4"/>
      <c r="G449" s="4"/>
      <c r="H449" s="4"/>
      <c r="I449" s="4"/>
      <c r="J449" s="4"/>
      <c r="K449" s="4"/>
    </row>
    <row r="450" spans="4:11" x14ac:dyDescent="0.25">
      <c r="D450" s="4"/>
      <c r="E450" s="4"/>
      <c r="F450" s="4"/>
      <c r="G450" s="4"/>
      <c r="H450" s="4"/>
      <c r="I450" s="4"/>
      <c r="J450" s="4"/>
      <c r="K450" s="4"/>
    </row>
    <row r="451" spans="4:11" x14ac:dyDescent="0.25">
      <c r="D451" s="4"/>
      <c r="E451" s="4"/>
      <c r="F451" s="4"/>
      <c r="G451" s="4"/>
      <c r="H451" s="4"/>
      <c r="I451" s="4"/>
      <c r="J451" s="4"/>
      <c r="K451" s="4"/>
    </row>
    <row r="452" spans="4:11" x14ac:dyDescent="0.25">
      <c r="D452" s="4"/>
      <c r="E452" s="4"/>
      <c r="F452" s="4"/>
      <c r="G452" s="4"/>
      <c r="H452" s="4"/>
      <c r="I452" s="4"/>
      <c r="J452" s="4"/>
      <c r="K452" s="4"/>
    </row>
    <row r="453" spans="4:11" x14ac:dyDescent="0.25">
      <c r="D453" s="4"/>
      <c r="E453" s="4"/>
      <c r="F453" s="4"/>
      <c r="G453" s="4"/>
      <c r="H453" s="4"/>
      <c r="I453" s="4"/>
      <c r="J453" s="4"/>
      <c r="K453" s="4"/>
    </row>
    <row r="454" spans="4:11" x14ac:dyDescent="0.25">
      <c r="D454" s="4"/>
      <c r="E454" s="4"/>
      <c r="F454" s="4"/>
      <c r="G454" s="4"/>
      <c r="H454" s="4"/>
      <c r="I454" s="4"/>
      <c r="J454" s="4"/>
      <c r="K454" s="4"/>
    </row>
    <row r="455" spans="4:11" x14ac:dyDescent="0.25">
      <c r="D455" s="4"/>
      <c r="E455" s="4"/>
      <c r="F455" s="4"/>
      <c r="G455" s="4"/>
      <c r="H455" s="4"/>
      <c r="I455" s="4"/>
      <c r="J455" s="4"/>
      <c r="K455" s="4"/>
    </row>
    <row r="456" spans="4:11" x14ac:dyDescent="0.25">
      <c r="D456" s="4"/>
      <c r="E456" s="4"/>
      <c r="F456" s="4"/>
      <c r="G456" s="4"/>
      <c r="H456" s="4"/>
      <c r="I456" s="4"/>
      <c r="J456" s="4"/>
      <c r="K456" s="4"/>
    </row>
    <row r="457" spans="4:11" x14ac:dyDescent="0.25">
      <c r="D457" s="4"/>
      <c r="E457" s="4"/>
      <c r="F457" s="4"/>
      <c r="G457" s="4"/>
      <c r="H457" s="4"/>
      <c r="I457" s="4"/>
      <c r="J457" s="4"/>
      <c r="K457" s="4"/>
    </row>
    <row r="458" spans="4:11" x14ac:dyDescent="0.25">
      <c r="D458" s="4"/>
      <c r="E458" s="4"/>
      <c r="F458" s="4"/>
      <c r="G458" s="4"/>
      <c r="H458" s="4"/>
      <c r="I458" s="4"/>
      <c r="J458" s="4"/>
      <c r="K458" s="4"/>
    </row>
    <row r="459" spans="4:11" x14ac:dyDescent="0.25">
      <c r="D459" s="4"/>
      <c r="E459" s="4"/>
      <c r="F459" s="4"/>
      <c r="G459" s="4"/>
      <c r="H459" s="4"/>
      <c r="I459" s="4"/>
      <c r="J459" s="4"/>
      <c r="K459" s="4"/>
    </row>
    <row r="460" spans="4:11" x14ac:dyDescent="0.25">
      <c r="D460" s="4"/>
      <c r="E460" s="4"/>
      <c r="F460" s="4"/>
      <c r="G460" s="4"/>
      <c r="H460" s="4"/>
      <c r="I460" s="4"/>
      <c r="J460" s="4"/>
      <c r="K460" s="4"/>
    </row>
    <row r="461" spans="4:11" x14ac:dyDescent="0.25">
      <c r="D461" s="4"/>
      <c r="E461" s="4"/>
      <c r="F461" s="4"/>
      <c r="G461" s="4"/>
      <c r="H461" s="4"/>
      <c r="I461" s="4"/>
      <c r="J461" s="4"/>
      <c r="K461" s="4"/>
    </row>
    <row r="462" spans="4:11" x14ac:dyDescent="0.25">
      <c r="D462" s="4"/>
      <c r="E462" s="4"/>
      <c r="F462" s="4"/>
      <c r="G462" s="4"/>
      <c r="H462" s="4"/>
      <c r="I462" s="4"/>
      <c r="J462" s="4"/>
      <c r="K462" s="4"/>
    </row>
    <row r="463" spans="4:11" x14ac:dyDescent="0.25">
      <c r="D463" s="4"/>
      <c r="E463" s="4"/>
      <c r="F463" s="4"/>
      <c r="G463" s="4"/>
      <c r="H463" s="4"/>
      <c r="I463" s="4"/>
      <c r="J463" s="4"/>
      <c r="K463" s="4"/>
    </row>
    <row r="464" spans="4:11" x14ac:dyDescent="0.25">
      <c r="D464" s="4"/>
      <c r="E464" s="4"/>
      <c r="F464" s="4"/>
      <c r="G464" s="4"/>
      <c r="H464" s="4"/>
      <c r="I464" s="4"/>
      <c r="J464" s="4"/>
      <c r="K464" s="4"/>
    </row>
    <row r="465" spans="4:11" x14ac:dyDescent="0.25">
      <c r="D465" s="4"/>
      <c r="E465" s="4"/>
      <c r="F465" s="4"/>
      <c r="G465" s="4"/>
      <c r="H465" s="4"/>
      <c r="I465" s="4"/>
      <c r="J465" s="4"/>
      <c r="K465" s="4"/>
    </row>
    <row r="466" spans="4:11" x14ac:dyDescent="0.25">
      <c r="D466" s="4"/>
      <c r="E466" s="4"/>
      <c r="F466" s="4"/>
      <c r="G466" s="4"/>
      <c r="H466" s="4"/>
      <c r="I466" s="4"/>
      <c r="J466" s="4"/>
      <c r="K466" s="4"/>
    </row>
    <row r="467" spans="4:11" x14ac:dyDescent="0.25">
      <c r="D467" s="4"/>
      <c r="E467" s="4"/>
      <c r="F467" s="4"/>
      <c r="G467" s="4"/>
      <c r="H467" s="4"/>
      <c r="I467" s="4"/>
      <c r="J467" s="4"/>
      <c r="K467" s="4"/>
    </row>
    <row r="468" spans="4:11" x14ac:dyDescent="0.25">
      <c r="D468" s="4"/>
      <c r="E468" s="4"/>
      <c r="F468" s="4"/>
      <c r="G468" s="4"/>
      <c r="H468" s="4"/>
      <c r="I468" s="4"/>
      <c r="J468" s="4"/>
      <c r="K468" s="4"/>
    </row>
    <row r="469" spans="4:11" x14ac:dyDescent="0.25">
      <c r="D469" s="4"/>
      <c r="E469" s="4"/>
      <c r="F469" s="4"/>
      <c r="G469" s="4"/>
      <c r="H469" s="4"/>
      <c r="I469" s="4"/>
      <c r="J469" s="4"/>
      <c r="K469" s="4"/>
    </row>
    <row r="470" spans="4:11" x14ac:dyDescent="0.25">
      <c r="D470" s="4"/>
      <c r="E470" s="4"/>
      <c r="F470" s="4"/>
      <c r="G470" s="4"/>
      <c r="H470" s="4"/>
      <c r="I470" s="4"/>
      <c r="J470" s="4"/>
      <c r="K470" s="4"/>
    </row>
    <row r="471" spans="4:11" x14ac:dyDescent="0.25">
      <c r="D471" s="4"/>
      <c r="E471" s="4"/>
      <c r="F471" s="4"/>
      <c r="G471" s="4"/>
      <c r="H471" s="4"/>
      <c r="I471" s="4"/>
      <c r="J471" s="4"/>
      <c r="K471" s="4"/>
    </row>
    <row r="472" spans="4:11" x14ac:dyDescent="0.25">
      <c r="D472" s="4"/>
      <c r="E472" s="4"/>
      <c r="F472" s="4"/>
      <c r="G472" s="4"/>
      <c r="H472" s="4"/>
      <c r="I472" s="4"/>
      <c r="J472" s="4"/>
      <c r="K472" s="4"/>
    </row>
    <row r="473" spans="4:11" x14ac:dyDescent="0.25">
      <c r="D473" s="4"/>
      <c r="E473" s="4"/>
      <c r="F473" s="4"/>
      <c r="G473" s="4"/>
      <c r="H473" s="4"/>
      <c r="I473" s="4"/>
      <c r="J473" s="4"/>
      <c r="K473" s="4"/>
    </row>
    <row r="474" spans="4:11" x14ac:dyDescent="0.25">
      <c r="D474" s="4"/>
      <c r="E474" s="4"/>
      <c r="F474" s="4"/>
      <c r="G474" s="4"/>
      <c r="H474" s="4"/>
      <c r="I474" s="4"/>
      <c r="J474" s="4"/>
      <c r="K474" s="4"/>
    </row>
    <row r="475" spans="4:11" x14ac:dyDescent="0.25">
      <c r="D475" s="4"/>
      <c r="E475" s="4"/>
      <c r="F475" s="4"/>
      <c r="G475" s="4"/>
      <c r="H475" s="4"/>
      <c r="I475" s="4"/>
      <c r="J475" s="4"/>
      <c r="K475" s="4"/>
    </row>
    <row r="476" spans="4:11" x14ac:dyDescent="0.25">
      <c r="D476" s="4"/>
      <c r="E476" s="4"/>
      <c r="F476" s="4"/>
      <c r="G476" s="4"/>
      <c r="H476" s="4"/>
      <c r="I476" s="4"/>
      <c r="J476" s="4"/>
      <c r="K476" s="4"/>
    </row>
    <row r="477" spans="4:11" x14ac:dyDescent="0.25">
      <c r="D477" s="4"/>
      <c r="E477" s="4"/>
      <c r="F477" s="4"/>
      <c r="G477" s="4"/>
      <c r="H477" s="4"/>
      <c r="I477" s="4"/>
      <c r="J477" s="4"/>
      <c r="K477" s="4"/>
    </row>
    <row r="478" spans="4:11" x14ac:dyDescent="0.25">
      <c r="D478" s="4"/>
      <c r="E478" s="4"/>
      <c r="F478" s="4"/>
      <c r="G478" s="4"/>
      <c r="H478" s="4"/>
      <c r="I478" s="4"/>
      <c r="J478" s="4"/>
      <c r="K478" s="4"/>
    </row>
    <row r="479" spans="4:11" x14ac:dyDescent="0.25">
      <c r="D479" s="4"/>
      <c r="E479" s="4"/>
      <c r="F479" s="4"/>
      <c r="G479" s="4"/>
      <c r="H479" s="4"/>
      <c r="I479" s="4"/>
      <c r="J479" s="4"/>
      <c r="K479" s="4"/>
    </row>
    <row r="480" spans="4:11" x14ac:dyDescent="0.25">
      <c r="D480" s="4"/>
      <c r="E480" s="4"/>
      <c r="F480" s="4"/>
      <c r="G480" s="4"/>
      <c r="H480" s="4"/>
      <c r="I480" s="4"/>
      <c r="J480" s="4"/>
      <c r="K480" s="4"/>
    </row>
    <row r="481" spans="4:11" x14ac:dyDescent="0.25">
      <c r="D481" s="4"/>
      <c r="E481" s="4"/>
      <c r="F481" s="4"/>
      <c r="G481" s="4"/>
      <c r="H481" s="4"/>
      <c r="I481" s="4"/>
      <c r="J481" s="4"/>
      <c r="K481" s="4"/>
    </row>
    <row r="482" spans="4:11" x14ac:dyDescent="0.25">
      <c r="D482" s="4"/>
      <c r="E482" s="4"/>
      <c r="F482" s="4"/>
      <c r="G482" s="4"/>
      <c r="H482" s="4"/>
      <c r="I482" s="4"/>
      <c r="J482" s="4"/>
      <c r="K482" s="4"/>
    </row>
    <row r="483" spans="4:11" x14ac:dyDescent="0.25">
      <c r="D483" s="4"/>
      <c r="E483" s="4"/>
      <c r="F483" s="4"/>
      <c r="G483" s="4"/>
      <c r="H483" s="4"/>
      <c r="I483" s="4"/>
      <c r="J483" s="4"/>
      <c r="K483" s="4"/>
    </row>
    <row r="484" spans="4:11" x14ac:dyDescent="0.25">
      <c r="D484" s="4"/>
      <c r="E484" s="4"/>
      <c r="F484" s="4"/>
      <c r="G484" s="4"/>
      <c r="H484" s="4"/>
      <c r="I484" s="4"/>
      <c r="J484" s="4"/>
      <c r="K484" s="4"/>
    </row>
    <row r="485" spans="4:11" x14ac:dyDescent="0.25">
      <c r="D485" s="4"/>
      <c r="E485" s="4"/>
      <c r="F485" s="4"/>
      <c r="G485" s="4"/>
      <c r="H485" s="4"/>
      <c r="I485" s="4"/>
      <c r="J485" s="4"/>
      <c r="K485" s="4"/>
    </row>
    <row r="486" spans="4:11" x14ac:dyDescent="0.25">
      <c r="D486" s="4"/>
      <c r="E486" s="4"/>
      <c r="F486" s="4"/>
      <c r="G486" s="4"/>
      <c r="H486" s="4"/>
      <c r="I486" s="4"/>
      <c r="J486" s="4"/>
      <c r="K486" s="4"/>
    </row>
    <row r="487" spans="4:11" x14ac:dyDescent="0.25">
      <c r="D487" s="4"/>
      <c r="E487" s="4"/>
      <c r="F487" s="4"/>
      <c r="G487" s="4"/>
      <c r="H487" s="4"/>
      <c r="I487" s="4"/>
      <c r="J487" s="4"/>
      <c r="K487" s="4"/>
    </row>
    <row r="488" spans="4:11" x14ac:dyDescent="0.25">
      <c r="D488" s="4"/>
      <c r="E488" s="4"/>
      <c r="F488" s="4"/>
      <c r="G488" s="4"/>
      <c r="H488" s="4"/>
      <c r="I488" s="4"/>
      <c r="J488" s="4"/>
      <c r="K488" s="4"/>
    </row>
    <row r="489" spans="4:11" x14ac:dyDescent="0.25">
      <c r="D489" s="4"/>
      <c r="E489" s="4"/>
      <c r="F489" s="4"/>
      <c r="G489" s="4"/>
      <c r="H489" s="4"/>
      <c r="I489" s="4"/>
      <c r="J489" s="4"/>
      <c r="K489" s="4"/>
    </row>
    <row r="490" spans="4:11" x14ac:dyDescent="0.25">
      <c r="D490" s="4"/>
      <c r="E490" s="4"/>
      <c r="F490" s="4"/>
      <c r="G490" s="4"/>
      <c r="H490" s="4"/>
      <c r="I490" s="4"/>
      <c r="J490" s="4"/>
      <c r="K490" s="4"/>
    </row>
    <row r="491" spans="4:11" x14ac:dyDescent="0.25">
      <c r="D491" s="4"/>
      <c r="E491" s="4"/>
      <c r="F491" s="4"/>
      <c r="G491" s="4"/>
      <c r="H491" s="4"/>
      <c r="I491" s="4"/>
      <c r="J491" s="4"/>
      <c r="K491" s="4"/>
    </row>
    <row r="492" spans="4:11" x14ac:dyDescent="0.25">
      <c r="D492" s="4"/>
      <c r="E492" s="4"/>
      <c r="F492" s="4"/>
      <c r="G492" s="4"/>
      <c r="H492" s="4"/>
      <c r="I492" s="4"/>
      <c r="J492" s="4"/>
      <c r="K492" s="4"/>
    </row>
    <row r="493" spans="4:11" x14ac:dyDescent="0.25">
      <c r="D493" s="4"/>
      <c r="E493" s="4"/>
      <c r="F493" s="4"/>
      <c r="G493" s="4"/>
      <c r="H493" s="4"/>
      <c r="I493" s="4"/>
      <c r="J493" s="4"/>
      <c r="K493" s="4"/>
    </row>
    <row r="494" spans="4:11" x14ac:dyDescent="0.25">
      <c r="D494" s="4"/>
      <c r="E494" s="4"/>
      <c r="F494" s="4"/>
      <c r="G494" s="4"/>
      <c r="H494" s="4"/>
      <c r="I494" s="4"/>
      <c r="J494" s="4"/>
      <c r="K494" s="4"/>
    </row>
    <row r="495" spans="4:11" x14ac:dyDescent="0.25">
      <c r="D495" s="4"/>
      <c r="E495" s="4"/>
      <c r="F495" s="4"/>
      <c r="G495" s="4"/>
      <c r="H495" s="4"/>
      <c r="I495" s="4"/>
      <c r="J495" s="4"/>
      <c r="K495" s="4"/>
    </row>
    <row r="496" spans="4:11" x14ac:dyDescent="0.25">
      <c r="D496" s="4"/>
      <c r="E496" s="4"/>
      <c r="F496" s="4"/>
      <c r="G496" s="4"/>
      <c r="H496" s="4"/>
      <c r="I496" s="4"/>
      <c r="J496" s="4"/>
      <c r="K496" s="4"/>
    </row>
    <row r="497" spans="4:11" x14ac:dyDescent="0.25">
      <c r="D497" s="4"/>
      <c r="E497" s="4"/>
      <c r="F497" s="4"/>
      <c r="G497" s="4"/>
      <c r="H497" s="4"/>
      <c r="I497" s="4"/>
      <c r="J497" s="4"/>
      <c r="K497" s="4"/>
    </row>
    <row r="498" spans="4:11" x14ac:dyDescent="0.25">
      <c r="D498" s="4"/>
      <c r="E498" s="4"/>
      <c r="F498" s="4"/>
      <c r="G498" s="4"/>
      <c r="H498" s="4"/>
      <c r="I498" s="4"/>
      <c r="J498" s="4"/>
      <c r="K498" s="4"/>
    </row>
    <row r="499" spans="4:11" x14ac:dyDescent="0.25">
      <c r="D499" s="4"/>
      <c r="E499" s="4"/>
      <c r="F499" s="4"/>
      <c r="G499" s="4"/>
      <c r="H499" s="4"/>
      <c r="I499" s="4"/>
      <c r="J499" s="4"/>
      <c r="K499" s="4"/>
    </row>
    <row r="500" spans="4:11" x14ac:dyDescent="0.25">
      <c r="D500" s="4"/>
      <c r="E500" s="4"/>
      <c r="F500" s="4"/>
      <c r="G500" s="4"/>
      <c r="H500" s="4"/>
      <c r="I500" s="4"/>
      <c r="J500" s="4"/>
      <c r="K500" s="4"/>
    </row>
    <row r="501" spans="4:11" x14ac:dyDescent="0.25">
      <c r="D501" s="4"/>
      <c r="E501" s="4"/>
      <c r="F501" s="4"/>
      <c r="G501" s="4"/>
      <c r="H501" s="4"/>
      <c r="I501" s="4"/>
      <c r="J501" s="4"/>
      <c r="K501" s="4"/>
    </row>
    <row r="502" spans="4:11" x14ac:dyDescent="0.25">
      <c r="D502" s="4"/>
      <c r="E502" s="4"/>
      <c r="F502" s="4"/>
      <c r="G502" s="4"/>
      <c r="H502" s="4"/>
      <c r="I502" s="4"/>
      <c r="J502" s="4"/>
      <c r="K502" s="4"/>
    </row>
    <row r="503" spans="4:11" x14ac:dyDescent="0.25">
      <c r="D503" s="4"/>
      <c r="E503" s="4"/>
      <c r="F503" s="4"/>
      <c r="G503" s="4"/>
      <c r="H503" s="4"/>
      <c r="I503" s="4"/>
      <c r="J503" s="4"/>
      <c r="K503" s="4"/>
    </row>
    <row r="504" spans="4:11" x14ac:dyDescent="0.25">
      <c r="D504" s="4"/>
      <c r="E504" s="4"/>
      <c r="F504" s="4"/>
      <c r="G504" s="4"/>
      <c r="H504" s="4"/>
      <c r="I504" s="4"/>
      <c r="J504" s="4"/>
      <c r="K504" s="4"/>
    </row>
    <row r="505" spans="4:11" x14ac:dyDescent="0.25">
      <c r="D505" s="4"/>
      <c r="E505" s="4"/>
      <c r="F505" s="4"/>
      <c r="G505" s="4"/>
      <c r="H505" s="4"/>
      <c r="I505" s="4"/>
      <c r="J505" s="4"/>
      <c r="K505" s="4"/>
    </row>
    <row r="506" spans="4:11" x14ac:dyDescent="0.25">
      <c r="D506" s="4"/>
      <c r="E506" s="4"/>
      <c r="F506" s="4"/>
      <c r="G506" s="4"/>
      <c r="H506" s="4"/>
      <c r="I506" s="4"/>
      <c r="J506" s="4"/>
      <c r="K506" s="4"/>
    </row>
    <row r="507" spans="4:11" x14ac:dyDescent="0.25">
      <c r="D507" s="4"/>
      <c r="E507" s="4"/>
      <c r="F507" s="4"/>
      <c r="G507" s="4"/>
      <c r="H507" s="4"/>
      <c r="I507" s="4"/>
      <c r="J507" s="4"/>
      <c r="K507" s="4"/>
    </row>
    <row r="508" spans="4:11" x14ac:dyDescent="0.25">
      <c r="D508" s="4"/>
      <c r="E508" s="4"/>
      <c r="F508" s="4"/>
      <c r="G508" s="4"/>
      <c r="H508" s="4"/>
      <c r="I508" s="4"/>
      <c r="J508" s="4"/>
      <c r="K508" s="4"/>
    </row>
    <row r="509" spans="4:11" x14ac:dyDescent="0.25">
      <c r="D509" s="4"/>
      <c r="E509" s="4"/>
      <c r="F509" s="4"/>
      <c r="G509" s="4"/>
      <c r="H509" s="4"/>
      <c r="I509" s="4"/>
      <c r="J509" s="4"/>
      <c r="K509" s="4"/>
    </row>
    <row r="510" spans="4:11" x14ac:dyDescent="0.25">
      <c r="D510" s="4"/>
      <c r="E510" s="4"/>
      <c r="F510" s="4"/>
      <c r="G510" s="4"/>
      <c r="H510" s="4"/>
      <c r="I510" s="4"/>
      <c r="J510" s="4"/>
      <c r="K510" s="4"/>
    </row>
    <row r="511" spans="4:11" x14ac:dyDescent="0.25">
      <c r="D511" s="4"/>
      <c r="E511" s="4"/>
      <c r="F511" s="4"/>
      <c r="G511" s="4"/>
      <c r="H511" s="4"/>
      <c r="I511" s="4"/>
      <c r="J511" s="4"/>
      <c r="K511" s="4"/>
    </row>
    <row r="512" spans="4:11" x14ac:dyDescent="0.25">
      <c r="D512" s="4"/>
      <c r="E512" s="4"/>
      <c r="F512" s="4"/>
      <c r="G512" s="4"/>
      <c r="H512" s="4"/>
      <c r="I512" s="4"/>
      <c r="J512" s="4"/>
      <c r="K512" s="4"/>
    </row>
    <row r="513" spans="4:11" x14ac:dyDescent="0.25">
      <c r="D513" s="4"/>
      <c r="E513" s="4"/>
      <c r="F513" s="4"/>
      <c r="G513" s="4"/>
      <c r="H513" s="4"/>
      <c r="I513" s="4"/>
      <c r="J513" s="4"/>
      <c r="K513" s="4"/>
    </row>
    <row r="514" spans="4:11" x14ac:dyDescent="0.25">
      <c r="D514" s="4"/>
      <c r="E514" s="4"/>
      <c r="F514" s="4"/>
      <c r="G514" s="4"/>
      <c r="H514" s="4"/>
      <c r="I514" s="4"/>
      <c r="J514" s="4"/>
      <c r="K514" s="4"/>
    </row>
    <row r="515" spans="4:11" x14ac:dyDescent="0.25">
      <c r="D515" s="4"/>
      <c r="E515" s="4"/>
      <c r="F515" s="4"/>
      <c r="G515" s="4"/>
      <c r="H515" s="4"/>
      <c r="I515" s="4"/>
      <c r="J515" s="4"/>
      <c r="K515" s="4"/>
    </row>
    <row r="516" spans="4:11" x14ac:dyDescent="0.25">
      <c r="D516" s="4"/>
      <c r="E516" s="4"/>
      <c r="F516" s="4"/>
      <c r="G516" s="4"/>
      <c r="H516" s="4"/>
      <c r="I516" s="4"/>
      <c r="J516" s="4"/>
      <c r="K516" s="4"/>
    </row>
    <row r="517" spans="4:11" x14ac:dyDescent="0.25">
      <c r="D517" s="4"/>
      <c r="E517" s="4"/>
      <c r="F517" s="4"/>
      <c r="G517" s="4"/>
      <c r="H517" s="4"/>
      <c r="I517" s="4"/>
      <c r="J517" s="4"/>
      <c r="K517" s="4"/>
    </row>
    <row r="518" spans="4:11" x14ac:dyDescent="0.25">
      <c r="D518" s="4"/>
      <c r="E518" s="4"/>
      <c r="F518" s="4"/>
      <c r="G518" s="4"/>
      <c r="H518" s="4"/>
      <c r="I518" s="4"/>
      <c r="J518" s="4"/>
      <c r="K518" s="4"/>
    </row>
    <row r="519" spans="4:11" x14ac:dyDescent="0.25">
      <c r="D519" s="4"/>
      <c r="E519" s="4"/>
      <c r="F519" s="4"/>
      <c r="G519" s="4"/>
      <c r="H519" s="4"/>
      <c r="I519" s="4"/>
      <c r="J519" s="4"/>
      <c r="K519" s="4"/>
    </row>
    <row r="520" spans="4:11" x14ac:dyDescent="0.25">
      <c r="D520" s="4"/>
      <c r="E520" s="4"/>
      <c r="F520" s="4"/>
      <c r="G520" s="4"/>
      <c r="H520" s="4"/>
      <c r="I520" s="4"/>
      <c r="J520" s="4"/>
      <c r="K520" s="4"/>
    </row>
    <row r="521" spans="4:11" x14ac:dyDescent="0.25">
      <c r="D521" s="4"/>
      <c r="E521" s="4"/>
      <c r="F521" s="4"/>
      <c r="G521" s="4"/>
      <c r="H521" s="4"/>
      <c r="I521" s="4"/>
      <c r="J521" s="4"/>
      <c r="K521" s="4"/>
    </row>
    <row r="522" spans="4:11" x14ac:dyDescent="0.25">
      <c r="D522" s="4"/>
      <c r="E522" s="4"/>
      <c r="F522" s="4"/>
      <c r="G522" s="4"/>
      <c r="H522" s="4"/>
      <c r="I522" s="4"/>
      <c r="J522" s="4"/>
      <c r="K522" s="4"/>
    </row>
    <row r="523" spans="4:11" x14ac:dyDescent="0.25">
      <c r="D523" s="4"/>
      <c r="E523" s="4"/>
      <c r="F523" s="4"/>
      <c r="G523" s="4"/>
      <c r="H523" s="4"/>
      <c r="I523" s="4"/>
      <c r="J523" s="4"/>
      <c r="K523" s="4"/>
    </row>
    <row r="524" spans="4:11" x14ac:dyDescent="0.25">
      <c r="D524" s="4"/>
      <c r="E524" s="4"/>
      <c r="F524" s="4"/>
      <c r="G524" s="4"/>
      <c r="H524" s="4"/>
      <c r="I524" s="4"/>
      <c r="J524" s="4"/>
      <c r="K524" s="4"/>
    </row>
    <row r="525" spans="4:11" x14ac:dyDescent="0.25">
      <c r="D525" s="4"/>
      <c r="E525" s="4"/>
      <c r="F525" s="4"/>
      <c r="G525" s="4"/>
      <c r="H525" s="4"/>
      <c r="I525" s="4"/>
      <c r="J525" s="4"/>
      <c r="K525" s="4"/>
    </row>
    <row r="526" spans="4:11" x14ac:dyDescent="0.25">
      <c r="D526" s="4"/>
      <c r="E526" s="4"/>
      <c r="F526" s="4"/>
      <c r="G526" s="4"/>
      <c r="H526" s="4"/>
      <c r="I526" s="4"/>
      <c r="J526" s="4"/>
      <c r="K526" s="4"/>
    </row>
    <row r="527" spans="4:11" x14ac:dyDescent="0.25">
      <c r="D527" s="4"/>
      <c r="E527" s="4"/>
      <c r="F527" s="4"/>
      <c r="G527" s="4"/>
      <c r="H527" s="4"/>
      <c r="I527" s="4"/>
      <c r="J527" s="4"/>
      <c r="K527" s="4"/>
    </row>
    <row r="528" spans="4:11" x14ac:dyDescent="0.25">
      <c r="D528" s="4"/>
      <c r="E528" s="4"/>
      <c r="F528" s="4"/>
      <c r="G528" s="4"/>
      <c r="H528" s="4"/>
      <c r="I528" s="4"/>
      <c r="J528" s="4"/>
      <c r="K528" s="4"/>
    </row>
    <row r="529" spans="4:11" x14ac:dyDescent="0.25">
      <c r="D529" s="4"/>
      <c r="E529" s="4"/>
      <c r="F529" s="4"/>
      <c r="G529" s="4"/>
      <c r="H529" s="4"/>
      <c r="I529" s="4"/>
      <c r="J529" s="4"/>
      <c r="K529" s="4"/>
    </row>
    <row r="530" spans="4:11" x14ac:dyDescent="0.25">
      <c r="D530" s="4"/>
      <c r="E530" s="4"/>
      <c r="F530" s="4"/>
      <c r="G530" s="4"/>
      <c r="H530" s="4"/>
      <c r="I530" s="4"/>
      <c r="J530" s="4"/>
      <c r="K530" s="4"/>
    </row>
    <row r="531" spans="4:11" x14ac:dyDescent="0.25">
      <c r="D531" s="4"/>
      <c r="E531" s="4"/>
      <c r="F531" s="4"/>
      <c r="G531" s="4"/>
      <c r="H531" s="4"/>
      <c r="I531" s="4"/>
      <c r="J531" s="4"/>
      <c r="K531" s="4"/>
    </row>
    <row r="532" spans="4:11" x14ac:dyDescent="0.25">
      <c r="D532" s="4"/>
      <c r="E532" s="4"/>
      <c r="F532" s="4"/>
      <c r="G532" s="4"/>
      <c r="H532" s="4"/>
      <c r="I532" s="4"/>
      <c r="J532" s="4"/>
      <c r="K532" s="4"/>
    </row>
    <row r="533" spans="4:11" x14ac:dyDescent="0.25">
      <c r="D533" s="4"/>
      <c r="E533" s="4"/>
      <c r="F533" s="4"/>
      <c r="G533" s="4"/>
      <c r="H533" s="4"/>
      <c r="I533" s="4"/>
      <c r="J533" s="4"/>
      <c r="K533" s="4"/>
    </row>
    <row r="534" spans="4:11" x14ac:dyDescent="0.25">
      <c r="D534" s="4"/>
      <c r="E534" s="4"/>
      <c r="F534" s="4"/>
      <c r="G534" s="4"/>
      <c r="H534" s="4"/>
      <c r="I534" s="4"/>
      <c r="J534" s="4"/>
      <c r="K534" s="4"/>
    </row>
    <row r="535" spans="4:11" x14ac:dyDescent="0.25">
      <c r="D535" s="4"/>
      <c r="E535" s="4"/>
      <c r="F535" s="4"/>
      <c r="G535" s="4"/>
      <c r="H535" s="4"/>
      <c r="I535" s="4"/>
      <c r="J535" s="4"/>
      <c r="K535" s="4"/>
    </row>
    <row r="536" spans="4:11" x14ac:dyDescent="0.25">
      <c r="D536" s="4"/>
      <c r="E536" s="4"/>
      <c r="F536" s="4"/>
      <c r="G536" s="4"/>
      <c r="H536" s="4"/>
      <c r="I536" s="4"/>
      <c r="J536" s="4"/>
      <c r="K536" s="4"/>
    </row>
    <row r="537" spans="4:11" x14ac:dyDescent="0.25">
      <c r="D537" s="4"/>
      <c r="E537" s="4"/>
      <c r="F537" s="4"/>
      <c r="G537" s="4"/>
      <c r="H537" s="4"/>
      <c r="I537" s="4"/>
      <c r="J537" s="4"/>
      <c r="K537" s="4"/>
    </row>
    <row r="538" spans="4:11" x14ac:dyDescent="0.25">
      <c r="D538" s="4"/>
      <c r="E538" s="4"/>
      <c r="F538" s="4"/>
      <c r="G538" s="4"/>
      <c r="H538" s="4"/>
      <c r="I538" s="4"/>
      <c r="J538" s="4"/>
      <c r="K538" s="4"/>
    </row>
    <row r="539" spans="4:11" x14ac:dyDescent="0.25">
      <c r="D539" s="4"/>
      <c r="E539" s="4"/>
      <c r="F539" s="4"/>
      <c r="G539" s="4"/>
      <c r="H539" s="4"/>
      <c r="I539" s="4"/>
      <c r="J539" s="4"/>
      <c r="K539" s="4"/>
    </row>
    <row r="540" spans="4:11" x14ac:dyDescent="0.25">
      <c r="D540" s="4"/>
      <c r="E540" s="4"/>
      <c r="F540" s="4"/>
      <c r="G540" s="4"/>
      <c r="H540" s="4"/>
      <c r="I540" s="4"/>
      <c r="J540" s="4"/>
      <c r="K540" s="4"/>
    </row>
    <row r="541" spans="4:11" x14ac:dyDescent="0.25">
      <c r="D541" s="4"/>
      <c r="E541" s="4"/>
      <c r="F541" s="4"/>
      <c r="G541" s="4"/>
      <c r="H541" s="4"/>
      <c r="I541" s="4"/>
      <c r="J541" s="4"/>
      <c r="K541" s="4"/>
    </row>
  </sheetData>
  <pageMargins left="0.7" right="0.7" top="0.75" bottom="0.75" header="0.3" footer="0.3"/>
  <pageSetup paperSize="8" scale="31" orientation="landscape" r:id="rId1"/>
  <rowBreaks count="3" manualBreakCount="3">
    <brk id="152" max="16383" man="1"/>
    <brk id="305" min="1" max="31" man="1"/>
    <brk id="367" max="16383" man="1"/>
  </rowBreaks>
  <colBreaks count="1" manualBreakCount="1">
    <brk id="27" max="1048575" man="1"/>
  </colBreaks>
  <ignoredErrors>
    <ignoredError sqref="C173" evalError="1"/>
  </ignoredError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541"/>
  <sheetViews>
    <sheetView showGridLines="0" view="pageBreakPreview" topLeftCell="I1" zoomScale="96" zoomScaleNormal="44" zoomScaleSheetLayoutView="96" workbookViewId="0">
      <pane ySplit="1" topLeftCell="A2" activePane="bottomLeft" state="frozen"/>
      <selection activeCell="B1" sqref="B1"/>
      <selection pane="bottomLeft" activeCell="O20" sqref="O20"/>
    </sheetView>
  </sheetViews>
  <sheetFormatPr baseColWidth="10" defaultColWidth="9.140625" defaultRowHeight="15" x14ac:dyDescent="0.25"/>
  <cols>
    <col min="1" max="1" width="0" style="4" hidden="1" customWidth="1"/>
    <col min="2" max="2" width="16" style="4" customWidth="1"/>
    <col min="3" max="3" width="9.140625" style="28"/>
    <col min="4" max="4" width="10.28515625" style="1" customWidth="1"/>
    <col min="5" max="5" width="8.140625" style="1" bestFit="1" customWidth="1"/>
    <col min="6" max="6" width="16.42578125" style="1" customWidth="1"/>
    <col min="7" max="7" width="11.42578125" style="1" customWidth="1"/>
    <col min="8" max="8" width="11.5703125" style="1" customWidth="1"/>
    <col min="9" max="9" width="17.28515625" style="1" customWidth="1"/>
    <col min="10" max="11" width="16.5703125" style="1" customWidth="1"/>
    <col min="12" max="12" width="13.85546875" style="1" customWidth="1"/>
    <col min="13" max="14" width="9.140625" style="4"/>
    <col min="15" max="15" width="19.85546875" style="4" bestFit="1" customWidth="1"/>
    <col min="16" max="40" width="9.140625" style="4"/>
    <col min="41" max="16384" width="9.140625" style="29"/>
  </cols>
  <sheetData>
    <row r="1" spans="1:17" s="4" customFormat="1" x14ac:dyDescent="0.25">
      <c r="A1" s="1" t="s">
        <v>13</v>
      </c>
      <c r="B1" s="2" t="s">
        <v>14</v>
      </c>
      <c r="C1" s="38" t="s">
        <v>0</v>
      </c>
      <c r="D1" s="2" t="s">
        <v>21</v>
      </c>
      <c r="E1" s="2" t="s">
        <v>22</v>
      </c>
      <c r="F1" s="33" t="s">
        <v>28</v>
      </c>
      <c r="G1" s="33" t="s">
        <v>29</v>
      </c>
      <c r="H1" s="33" t="s">
        <v>30</v>
      </c>
      <c r="I1" s="33" t="s">
        <v>33</v>
      </c>
      <c r="J1" s="33" t="s">
        <v>31</v>
      </c>
      <c r="K1" s="33" t="s">
        <v>35</v>
      </c>
      <c r="L1" s="33" t="s">
        <v>32</v>
      </c>
      <c r="O1" s="5"/>
    </row>
    <row r="2" spans="1:17" s="4" customFormat="1" x14ac:dyDescent="0.25">
      <c r="A2" s="1">
        <f>WEEKNUM($B2,2)</f>
        <v>1</v>
      </c>
      <c r="B2" s="6">
        <v>44927</v>
      </c>
      <c r="C2" s="39">
        <f>AVERAGE(D2:L2)</f>
        <v>0</v>
      </c>
      <c r="D2" s="30">
        <v>0</v>
      </c>
      <c r="E2" s="30">
        <v>0</v>
      </c>
      <c r="F2" s="30">
        <v>0</v>
      </c>
      <c r="G2" s="30">
        <v>0</v>
      </c>
      <c r="H2" s="30">
        <v>0</v>
      </c>
      <c r="I2" s="30"/>
      <c r="J2" s="30">
        <v>0</v>
      </c>
      <c r="K2" s="30"/>
      <c r="L2" s="30"/>
    </row>
    <row r="3" spans="1:17" s="4" customFormat="1" x14ac:dyDescent="0.25">
      <c r="A3" s="1">
        <f t="shared" ref="A3:A66" si="0">WEEKNUM($B3,2)</f>
        <v>2</v>
      </c>
      <c r="B3" s="6">
        <v>44928</v>
      </c>
      <c r="C3" s="39">
        <f t="shared" ref="C3:C66" si="1">AVERAGE(D3:L3)</f>
        <v>0</v>
      </c>
      <c r="D3" s="30">
        <v>0</v>
      </c>
      <c r="E3" s="30">
        <v>0</v>
      </c>
      <c r="F3" s="30">
        <v>0</v>
      </c>
      <c r="G3" s="30">
        <v>0</v>
      </c>
      <c r="H3" s="30">
        <v>0</v>
      </c>
      <c r="I3" s="30"/>
      <c r="J3" s="30">
        <v>0</v>
      </c>
      <c r="K3" s="30"/>
      <c r="L3" s="30"/>
    </row>
    <row r="4" spans="1:17" s="4" customFormat="1" x14ac:dyDescent="0.25">
      <c r="A4" s="1">
        <f t="shared" si="0"/>
        <v>2</v>
      </c>
      <c r="B4" s="6">
        <v>44929</v>
      </c>
      <c r="C4" s="39">
        <f t="shared" si="1"/>
        <v>0</v>
      </c>
      <c r="D4" s="30">
        <v>0</v>
      </c>
      <c r="E4" s="30">
        <v>0</v>
      </c>
      <c r="F4" s="30">
        <v>0</v>
      </c>
      <c r="G4" s="30">
        <v>0</v>
      </c>
      <c r="H4" s="30">
        <v>0</v>
      </c>
      <c r="I4" s="30"/>
      <c r="J4" s="30">
        <v>0</v>
      </c>
      <c r="K4" s="30"/>
      <c r="L4" s="30"/>
    </row>
    <row r="5" spans="1:17" s="4" customFormat="1" x14ac:dyDescent="0.25">
      <c r="A5" s="1">
        <f t="shared" si="0"/>
        <v>2</v>
      </c>
      <c r="B5" s="6">
        <v>44930</v>
      </c>
      <c r="C5" s="39">
        <f t="shared" si="1"/>
        <v>0</v>
      </c>
      <c r="D5" s="30">
        <v>0</v>
      </c>
      <c r="E5" s="30">
        <v>0</v>
      </c>
      <c r="F5" s="30">
        <v>0</v>
      </c>
      <c r="G5" s="30">
        <v>0</v>
      </c>
      <c r="H5" s="30">
        <v>0</v>
      </c>
      <c r="I5" s="30"/>
      <c r="J5" s="30">
        <v>0</v>
      </c>
      <c r="K5" s="30"/>
      <c r="L5" s="30"/>
    </row>
    <row r="6" spans="1:17" s="4" customFormat="1" x14ac:dyDescent="0.25">
      <c r="A6" s="1">
        <f t="shared" si="0"/>
        <v>2</v>
      </c>
      <c r="B6" s="6">
        <v>44931</v>
      </c>
      <c r="C6" s="39">
        <f t="shared" si="1"/>
        <v>0</v>
      </c>
      <c r="D6" s="30">
        <v>0</v>
      </c>
      <c r="E6" s="30">
        <v>0</v>
      </c>
      <c r="F6" s="30">
        <v>0</v>
      </c>
      <c r="G6" s="30">
        <v>0</v>
      </c>
      <c r="H6" s="30">
        <v>0</v>
      </c>
      <c r="I6" s="30"/>
      <c r="J6" s="30">
        <v>0</v>
      </c>
      <c r="K6" s="30"/>
      <c r="L6" s="30"/>
      <c r="M6" s="7" t="s">
        <v>15</v>
      </c>
      <c r="N6" s="7" t="s">
        <v>16</v>
      </c>
      <c r="O6" s="7" t="s">
        <v>17</v>
      </c>
      <c r="P6" s="7" t="s">
        <v>18</v>
      </c>
      <c r="Q6" s="7" t="s">
        <v>19</v>
      </c>
    </row>
    <row r="7" spans="1:17" s="4" customFormat="1" x14ac:dyDescent="0.25">
      <c r="A7" s="1">
        <f t="shared" si="0"/>
        <v>2</v>
      </c>
      <c r="B7" s="6">
        <v>44932</v>
      </c>
      <c r="C7" s="39">
        <f t="shared" si="1"/>
        <v>0</v>
      </c>
      <c r="D7" s="30">
        <v>0</v>
      </c>
      <c r="E7" s="30">
        <v>0</v>
      </c>
      <c r="F7" s="30">
        <v>0</v>
      </c>
      <c r="G7" s="30">
        <v>0</v>
      </c>
      <c r="H7" s="30">
        <v>0</v>
      </c>
      <c r="I7" s="30"/>
      <c r="J7" s="30">
        <v>0</v>
      </c>
      <c r="K7" s="30"/>
      <c r="L7" s="30"/>
      <c r="M7" s="5" t="s">
        <v>1</v>
      </c>
      <c r="N7" s="4">
        <f>SUM($C$2:$C$32)</f>
        <v>0</v>
      </c>
      <c r="O7" s="4">
        <f>COUNTIF($D$2:$D$32,"&gt;0")</f>
        <v>0</v>
      </c>
      <c r="Q7" s="4">
        <f>N7</f>
        <v>0</v>
      </c>
    </row>
    <row r="8" spans="1:17" s="4" customFormat="1" x14ac:dyDescent="0.25">
      <c r="A8" s="1">
        <f t="shared" si="0"/>
        <v>2</v>
      </c>
      <c r="B8" s="6">
        <v>44933</v>
      </c>
      <c r="C8" s="39">
        <f t="shared" si="1"/>
        <v>0</v>
      </c>
      <c r="D8" s="30">
        <v>0</v>
      </c>
      <c r="E8" s="30">
        <v>0</v>
      </c>
      <c r="F8" s="30">
        <v>0</v>
      </c>
      <c r="G8" s="30">
        <v>0</v>
      </c>
      <c r="H8" s="30">
        <v>0</v>
      </c>
      <c r="I8" s="30"/>
      <c r="J8" s="30">
        <v>0</v>
      </c>
      <c r="K8" s="30"/>
      <c r="L8" s="30"/>
      <c r="M8" s="5" t="s">
        <v>2</v>
      </c>
      <c r="N8" s="8">
        <f>SUM($C$33:$C$60)</f>
        <v>0.58333333333333337</v>
      </c>
      <c r="O8" s="4">
        <f>COUNTIF($D$33:$D$60,"&gt;0")</f>
        <v>1</v>
      </c>
      <c r="P8" s="9">
        <f>O8/28</f>
        <v>3.5714285714285712E-2</v>
      </c>
      <c r="Q8" s="4">
        <f>Q7+N8</f>
        <v>0.58333333333333337</v>
      </c>
    </row>
    <row r="9" spans="1:17" s="4" customFormat="1" x14ac:dyDescent="0.25">
      <c r="A9" s="1">
        <f t="shared" si="0"/>
        <v>2</v>
      </c>
      <c r="B9" s="6">
        <v>44934</v>
      </c>
      <c r="C9" s="39">
        <f t="shared" si="1"/>
        <v>0</v>
      </c>
      <c r="D9" s="30">
        <v>0</v>
      </c>
      <c r="E9" s="30">
        <v>0</v>
      </c>
      <c r="F9" s="30">
        <v>0</v>
      </c>
      <c r="G9" s="30">
        <v>0</v>
      </c>
      <c r="H9" s="30">
        <v>0</v>
      </c>
      <c r="I9" s="30"/>
      <c r="J9" s="30">
        <v>0</v>
      </c>
      <c r="K9" s="30"/>
      <c r="L9" s="30"/>
      <c r="M9" s="5" t="s">
        <v>3</v>
      </c>
      <c r="N9" s="10">
        <f>SUM($C$61:$C$91)</f>
        <v>6.9350000000000005</v>
      </c>
      <c r="O9" s="4">
        <f>COUNTIF($D$61:$D$91,"&gt;0")</f>
        <v>2</v>
      </c>
      <c r="P9" s="9">
        <f>O9/31</f>
        <v>6.4516129032258063E-2</v>
      </c>
      <c r="Q9" s="10">
        <f>Q8+N9</f>
        <v>7.5183333333333335</v>
      </c>
    </row>
    <row r="10" spans="1:17" s="4" customFormat="1" x14ac:dyDescent="0.25">
      <c r="A10" s="1">
        <f t="shared" si="0"/>
        <v>3</v>
      </c>
      <c r="B10" s="6">
        <v>44935</v>
      </c>
      <c r="C10" s="39">
        <f t="shared" si="1"/>
        <v>0</v>
      </c>
      <c r="D10" s="30">
        <v>0</v>
      </c>
      <c r="E10" s="30">
        <v>0</v>
      </c>
      <c r="F10" s="30">
        <v>0</v>
      </c>
      <c r="G10" s="30">
        <v>0</v>
      </c>
      <c r="H10" s="30">
        <v>0</v>
      </c>
      <c r="I10" s="30"/>
      <c r="J10" s="30">
        <v>0</v>
      </c>
      <c r="K10" s="30"/>
      <c r="L10" s="30"/>
      <c r="M10" s="5" t="s">
        <v>4</v>
      </c>
      <c r="N10" s="10">
        <f>SUM($C$92:$C$121)</f>
        <v>68.171666666666667</v>
      </c>
      <c r="O10" s="4">
        <f>COUNTIF($D$92:$D$121,"&gt;0")</f>
        <v>5</v>
      </c>
      <c r="P10" s="9">
        <f>O10/30</f>
        <v>0.16666666666666666</v>
      </c>
      <c r="Q10" s="10">
        <f>Q9+N10</f>
        <v>75.69</v>
      </c>
    </row>
    <row r="11" spans="1:17" s="4" customFormat="1" x14ac:dyDescent="0.25">
      <c r="A11" s="1">
        <f t="shared" si="0"/>
        <v>3</v>
      </c>
      <c r="B11" s="6">
        <v>44936</v>
      </c>
      <c r="C11" s="39">
        <f t="shared" si="1"/>
        <v>0</v>
      </c>
      <c r="D11" s="30">
        <v>0</v>
      </c>
      <c r="E11" s="30">
        <v>0</v>
      </c>
      <c r="F11" s="30">
        <v>0</v>
      </c>
      <c r="G11" s="30">
        <v>0</v>
      </c>
      <c r="H11" s="30">
        <v>0</v>
      </c>
      <c r="I11" s="30"/>
      <c r="J11" s="30">
        <v>0</v>
      </c>
      <c r="K11" s="30"/>
      <c r="L11" s="30"/>
      <c r="M11" s="5" t="s">
        <v>5</v>
      </c>
      <c r="N11" s="10">
        <f>SUM($C$122:$C$152)</f>
        <v>68.592857142857142</v>
      </c>
      <c r="O11" s="4">
        <f>COUNTIF($D$122:$D$152,"&gt;0")</f>
        <v>8</v>
      </c>
      <c r="P11" s="9">
        <f>O11/31</f>
        <v>0.25806451612903225</v>
      </c>
      <c r="Q11" s="10">
        <f>Q10+N11</f>
        <v>144.28285714285715</v>
      </c>
    </row>
    <row r="12" spans="1:17" s="4" customFormat="1" x14ac:dyDescent="0.25">
      <c r="A12" s="1">
        <f t="shared" si="0"/>
        <v>3</v>
      </c>
      <c r="B12" s="6">
        <v>44937</v>
      </c>
      <c r="C12" s="39">
        <f t="shared" si="1"/>
        <v>0</v>
      </c>
      <c r="D12" s="30">
        <v>0</v>
      </c>
      <c r="E12" s="30">
        <v>0</v>
      </c>
      <c r="F12" s="30">
        <v>0</v>
      </c>
      <c r="G12" s="30">
        <v>0</v>
      </c>
      <c r="H12" s="30">
        <v>0</v>
      </c>
      <c r="I12" s="30"/>
      <c r="J12" s="30">
        <v>0</v>
      </c>
      <c r="K12" s="30"/>
      <c r="L12" s="30"/>
      <c r="M12" s="5" t="s">
        <v>6</v>
      </c>
      <c r="N12" s="10">
        <f>SUM($C$153:$C$182)</f>
        <v>166.69571428571425</v>
      </c>
      <c r="O12" s="4">
        <f>COUNTIF($D$153:$D$182,"&gt;0")</f>
        <v>14</v>
      </c>
      <c r="P12" s="9">
        <f>O12/30</f>
        <v>0.46666666666666667</v>
      </c>
      <c r="Q12" s="10">
        <f t="shared" ref="Q12:Q17" si="2">Q11+N12</f>
        <v>310.9785714285714</v>
      </c>
    </row>
    <row r="13" spans="1:17" s="4" customFormat="1" x14ac:dyDescent="0.25">
      <c r="A13" s="1">
        <f t="shared" si="0"/>
        <v>3</v>
      </c>
      <c r="B13" s="6">
        <v>44938</v>
      </c>
      <c r="C13" s="39">
        <f t="shared" si="1"/>
        <v>0</v>
      </c>
      <c r="D13" s="30">
        <v>0</v>
      </c>
      <c r="E13" s="30">
        <v>0</v>
      </c>
      <c r="F13" s="30">
        <v>0</v>
      </c>
      <c r="G13" s="30">
        <v>0</v>
      </c>
      <c r="H13" s="30">
        <v>0</v>
      </c>
      <c r="I13" s="30"/>
      <c r="J13" s="30">
        <v>0</v>
      </c>
      <c r="K13" s="30"/>
      <c r="L13" s="30"/>
      <c r="M13" s="5" t="s">
        <v>7</v>
      </c>
      <c r="N13" s="10">
        <f>SUM($C$183:$C$213)</f>
        <v>0</v>
      </c>
      <c r="O13" s="4">
        <f>COUNTIF($D$183:$D$213,"&gt;0")</f>
        <v>0</v>
      </c>
      <c r="P13" s="9">
        <f>O13/31</f>
        <v>0</v>
      </c>
      <c r="Q13" s="10">
        <f t="shared" si="2"/>
        <v>310.9785714285714</v>
      </c>
    </row>
    <row r="14" spans="1:17" s="4" customFormat="1" x14ac:dyDescent="0.25">
      <c r="A14" s="1">
        <f t="shared" si="0"/>
        <v>3</v>
      </c>
      <c r="B14" s="6">
        <v>44939</v>
      </c>
      <c r="C14" s="39">
        <f t="shared" si="1"/>
        <v>0</v>
      </c>
      <c r="D14" s="30">
        <v>0</v>
      </c>
      <c r="E14" s="30">
        <v>0</v>
      </c>
      <c r="F14" s="30">
        <v>0</v>
      </c>
      <c r="G14" s="30">
        <v>0</v>
      </c>
      <c r="H14" s="30">
        <v>0</v>
      </c>
      <c r="I14" s="30"/>
      <c r="J14" s="30">
        <v>0</v>
      </c>
      <c r="K14" s="30"/>
      <c r="L14" s="30"/>
      <c r="M14" s="5" t="s">
        <v>8</v>
      </c>
      <c r="N14" s="10">
        <f>SUM($C$214:$C$244)</f>
        <v>0</v>
      </c>
      <c r="O14" s="4">
        <f>COUNTIF($D$214:$D$244,"&gt;0")</f>
        <v>0</v>
      </c>
      <c r="P14" s="9">
        <f>O14/31</f>
        <v>0</v>
      </c>
      <c r="Q14" s="10">
        <f t="shared" si="2"/>
        <v>310.9785714285714</v>
      </c>
    </row>
    <row r="15" spans="1:17" s="4" customFormat="1" x14ac:dyDescent="0.25">
      <c r="A15" s="1">
        <f t="shared" si="0"/>
        <v>3</v>
      </c>
      <c r="B15" s="6">
        <v>44940</v>
      </c>
      <c r="C15" s="39">
        <f t="shared" si="1"/>
        <v>0</v>
      </c>
      <c r="D15" s="30">
        <v>0</v>
      </c>
      <c r="E15" s="30">
        <v>0</v>
      </c>
      <c r="F15" s="30">
        <v>0</v>
      </c>
      <c r="G15" s="30">
        <v>0</v>
      </c>
      <c r="H15" s="30">
        <v>0</v>
      </c>
      <c r="I15" s="30"/>
      <c r="J15" s="30">
        <v>0</v>
      </c>
      <c r="K15" s="30"/>
      <c r="L15" s="30"/>
      <c r="M15" s="5" t="s">
        <v>9</v>
      </c>
      <c r="N15" s="10">
        <f>SUM($C$245:$C$274)</f>
        <v>0</v>
      </c>
      <c r="O15" s="4">
        <f>COUNTIF($D$245:$D$274,"&gt;0")</f>
        <v>0</v>
      </c>
      <c r="P15" s="9">
        <f>O15/30</f>
        <v>0</v>
      </c>
      <c r="Q15" s="10">
        <f t="shared" si="2"/>
        <v>310.9785714285714</v>
      </c>
    </row>
    <row r="16" spans="1:17" s="4" customFormat="1" x14ac:dyDescent="0.25">
      <c r="A16" s="1">
        <f t="shared" si="0"/>
        <v>3</v>
      </c>
      <c r="B16" s="6">
        <v>44941</v>
      </c>
      <c r="C16" s="39">
        <f t="shared" si="1"/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/>
      <c r="J16" s="1">
        <v>0</v>
      </c>
      <c r="K16" s="1"/>
      <c r="L16" s="1"/>
      <c r="M16" s="5" t="s">
        <v>10</v>
      </c>
      <c r="N16" s="10">
        <f>SUM($C$275:$C$305)</f>
        <v>0</v>
      </c>
      <c r="O16" s="4">
        <f>COUNTIF($D$275:$D$304,"&gt;0")</f>
        <v>0</v>
      </c>
      <c r="P16" s="9">
        <f>O16/31</f>
        <v>0</v>
      </c>
      <c r="Q16" s="10">
        <f t="shared" si="2"/>
        <v>310.9785714285714</v>
      </c>
    </row>
    <row r="17" spans="1:17" s="4" customFormat="1" x14ac:dyDescent="0.25">
      <c r="A17" s="1">
        <f t="shared" si="0"/>
        <v>4</v>
      </c>
      <c r="B17" s="6">
        <v>44942</v>
      </c>
      <c r="C17" s="39">
        <f t="shared" si="1"/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/>
      <c r="J17" s="1">
        <v>0</v>
      </c>
      <c r="K17" s="1"/>
      <c r="L17" s="1"/>
      <c r="M17" s="5" t="s">
        <v>11</v>
      </c>
      <c r="N17" s="10">
        <f>SUM($C$306:$C$335)</f>
        <v>0</v>
      </c>
      <c r="O17" s="4">
        <f>COUNTIF($D$305:$D$354,"&gt;0")</f>
        <v>0</v>
      </c>
      <c r="P17" s="9">
        <f>O17/30</f>
        <v>0</v>
      </c>
      <c r="Q17" s="10">
        <f t="shared" si="2"/>
        <v>310.9785714285714</v>
      </c>
    </row>
    <row r="18" spans="1:17" s="4" customFormat="1" x14ac:dyDescent="0.25">
      <c r="A18" s="1">
        <f t="shared" si="0"/>
        <v>4</v>
      </c>
      <c r="B18" s="6">
        <v>44943</v>
      </c>
      <c r="C18" s="39">
        <f t="shared" si="1"/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/>
      <c r="J18" s="1">
        <v>0</v>
      </c>
      <c r="K18" s="1"/>
      <c r="L18" s="1"/>
      <c r="M18" s="5" t="s">
        <v>12</v>
      </c>
      <c r="N18" s="10">
        <f>SUM($C$336:$C$366)</f>
        <v>0</v>
      </c>
      <c r="O18" s="4">
        <f>COUNTIF($D$336:$D$365,"&gt;0")</f>
        <v>0</v>
      </c>
      <c r="P18" s="11">
        <f>O18/31</f>
        <v>0</v>
      </c>
      <c r="Q18" s="10">
        <f>Q17+N18</f>
        <v>310.9785714285714</v>
      </c>
    </row>
    <row r="19" spans="1:17" s="4" customFormat="1" x14ac:dyDescent="0.25">
      <c r="A19" s="1">
        <f t="shared" si="0"/>
        <v>4</v>
      </c>
      <c r="B19" s="6">
        <v>44944</v>
      </c>
      <c r="C19" s="39">
        <f t="shared" si="1"/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/>
      <c r="J19" s="1">
        <v>0</v>
      </c>
      <c r="K19" s="1"/>
      <c r="L19" s="1"/>
    </row>
    <row r="20" spans="1:17" s="4" customFormat="1" x14ac:dyDescent="0.25">
      <c r="A20" s="1">
        <f t="shared" si="0"/>
        <v>4</v>
      </c>
      <c r="B20" s="6">
        <v>44945</v>
      </c>
      <c r="C20" s="39">
        <f t="shared" si="1"/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/>
      <c r="J20" s="1">
        <v>0</v>
      </c>
      <c r="K20" s="1"/>
      <c r="L20" s="1"/>
    </row>
    <row r="21" spans="1:17" s="4" customFormat="1" x14ac:dyDescent="0.25">
      <c r="A21" s="1">
        <f t="shared" si="0"/>
        <v>4</v>
      </c>
      <c r="B21" s="6">
        <v>44946</v>
      </c>
      <c r="C21" s="39">
        <f t="shared" si="1"/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/>
      <c r="J21" s="1">
        <v>0</v>
      </c>
      <c r="K21" s="1"/>
      <c r="L21" s="1"/>
    </row>
    <row r="22" spans="1:17" s="4" customFormat="1" x14ac:dyDescent="0.25">
      <c r="A22" s="1">
        <f t="shared" si="0"/>
        <v>4</v>
      </c>
      <c r="B22" s="6">
        <v>44947</v>
      </c>
      <c r="C22" s="39">
        <f t="shared" si="1"/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/>
      <c r="J22" s="1">
        <v>0</v>
      </c>
      <c r="K22" s="1"/>
      <c r="L22" s="1"/>
    </row>
    <row r="23" spans="1:17" s="4" customFormat="1" x14ac:dyDescent="0.25">
      <c r="A23" s="1">
        <f t="shared" si="0"/>
        <v>4</v>
      </c>
      <c r="B23" s="6">
        <v>44948</v>
      </c>
      <c r="C23" s="39">
        <f t="shared" si="1"/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/>
      <c r="J23" s="1">
        <v>0</v>
      </c>
      <c r="K23" s="1"/>
      <c r="L23" s="1"/>
    </row>
    <row r="24" spans="1:17" s="4" customFormat="1" x14ac:dyDescent="0.25">
      <c r="A24" s="1">
        <f t="shared" si="0"/>
        <v>5</v>
      </c>
      <c r="B24" s="6">
        <v>44949</v>
      </c>
      <c r="C24" s="39">
        <f t="shared" si="1"/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/>
      <c r="J24" s="1">
        <v>0</v>
      </c>
      <c r="K24" s="1"/>
      <c r="L24" s="1"/>
    </row>
    <row r="25" spans="1:17" s="4" customFormat="1" x14ac:dyDescent="0.25">
      <c r="A25" s="1">
        <f t="shared" si="0"/>
        <v>5</v>
      </c>
      <c r="B25" s="6">
        <v>44950</v>
      </c>
      <c r="C25" s="39">
        <f t="shared" si="1"/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/>
      <c r="J25" s="1">
        <v>0</v>
      </c>
      <c r="K25" s="1"/>
      <c r="L25" s="1"/>
    </row>
    <row r="26" spans="1:17" s="4" customFormat="1" x14ac:dyDescent="0.25">
      <c r="A26" s="1">
        <f t="shared" si="0"/>
        <v>5</v>
      </c>
      <c r="B26" s="6">
        <v>44951</v>
      </c>
      <c r="C26" s="39">
        <f t="shared" si="1"/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/>
      <c r="J26" s="1">
        <v>0</v>
      </c>
      <c r="K26" s="1"/>
      <c r="L26" s="1"/>
    </row>
    <row r="27" spans="1:17" s="4" customFormat="1" x14ac:dyDescent="0.25">
      <c r="A27" s="1">
        <f t="shared" si="0"/>
        <v>5</v>
      </c>
      <c r="B27" s="6">
        <v>44952</v>
      </c>
      <c r="C27" s="39">
        <f t="shared" si="1"/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/>
      <c r="J27" s="1">
        <v>0</v>
      </c>
      <c r="K27" s="1"/>
      <c r="L27" s="1"/>
    </row>
    <row r="28" spans="1:17" s="4" customFormat="1" x14ac:dyDescent="0.25">
      <c r="A28" s="1">
        <f t="shared" si="0"/>
        <v>5</v>
      </c>
      <c r="B28" s="6">
        <v>44953</v>
      </c>
      <c r="C28" s="39">
        <f t="shared" si="1"/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/>
      <c r="J28" s="1">
        <v>0</v>
      </c>
      <c r="K28" s="1"/>
      <c r="L28" s="1"/>
    </row>
    <row r="29" spans="1:17" s="4" customFormat="1" x14ac:dyDescent="0.25">
      <c r="A29" s="1">
        <f t="shared" si="0"/>
        <v>5</v>
      </c>
      <c r="B29" s="6">
        <v>44954</v>
      </c>
      <c r="C29" s="39">
        <f t="shared" si="1"/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/>
      <c r="J29" s="1">
        <v>0</v>
      </c>
      <c r="K29" s="1"/>
      <c r="L29" s="1"/>
    </row>
    <row r="30" spans="1:17" s="4" customFormat="1" x14ac:dyDescent="0.25">
      <c r="A30" s="1">
        <f t="shared" si="0"/>
        <v>5</v>
      </c>
      <c r="B30" s="6">
        <v>44955</v>
      </c>
      <c r="C30" s="39">
        <f t="shared" si="1"/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/>
      <c r="J30" s="1">
        <v>0</v>
      </c>
      <c r="K30" s="1"/>
      <c r="L30" s="1"/>
    </row>
    <row r="31" spans="1:17" s="4" customFormat="1" x14ac:dyDescent="0.25">
      <c r="A31" s="1">
        <f t="shared" si="0"/>
        <v>6</v>
      </c>
      <c r="B31" s="6">
        <v>44956</v>
      </c>
      <c r="C31" s="39">
        <f t="shared" si="1"/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/>
      <c r="J31" s="1">
        <v>0</v>
      </c>
      <c r="K31" s="1"/>
      <c r="L31" s="1"/>
    </row>
    <row r="32" spans="1:17" s="4" customFormat="1" ht="15.75" thickBot="1" x14ac:dyDescent="0.3">
      <c r="A32" s="1">
        <f t="shared" si="0"/>
        <v>6</v>
      </c>
      <c r="B32" s="6">
        <v>44957</v>
      </c>
      <c r="C32" s="39">
        <f t="shared" si="1"/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/>
      <c r="J32" s="1">
        <v>0</v>
      </c>
      <c r="K32" s="1"/>
      <c r="L32" s="1"/>
      <c r="M32" s="14">
        <f>SUM(C4:C32)</f>
        <v>0</v>
      </c>
    </row>
    <row r="33" spans="1:12" s="4" customFormat="1" ht="15.75" thickTop="1" x14ac:dyDescent="0.25">
      <c r="A33" s="1">
        <f t="shared" si="0"/>
        <v>6</v>
      </c>
      <c r="B33" s="6">
        <v>44958</v>
      </c>
      <c r="C33" s="39">
        <f t="shared" si="1"/>
        <v>0</v>
      </c>
      <c r="D33" s="1">
        <v>0</v>
      </c>
      <c r="E33" s="1">
        <v>0</v>
      </c>
      <c r="F33" s="1"/>
      <c r="G33" s="1">
        <v>0</v>
      </c>
      <c r="H33" s="1"/>
      <c r="I33" s="1">
        <v>0</v>
      </c>
      <c r="J33" s="1">
        <v>0</v>
      </c>
      <c r="K33" s="1"/>
      <c r="L33" s="1">
        <v>0</v>
      </c>
    </row>
    <row r="34" spans="1:12" s="4" customFormat="1" x14ac:dyDescent="0.25">
      <c r="A34" s="1">
        <f t="shared" si="0"/>
        <v>6</v>
      </c>
      <c r="B34" s="6">
        <v>44959</v>
      </c>
      <c r="C34" s="39">
        <f t="shared" si="1"/>
        <v>0</v>
      </c>
      <c r="D34" s="1">
        <v>0</v>
      </c>
      <c r="E34" s="1">
        <v>0</v>
      </c>
      <c r="F34" s="1"/>
      <c r="G34" s="1">
        <v>0</v>
      </c>
      <c r="H34" s="1"/>
      <c r="I34" s="1">
        <v>0</v>
      </c>
      <c r="J34" s="1">
        <v>0</v>
      </c>
      <c r="K34" s="1"/>
      <c r="L34" s="1">
        <v>0</v>
      </c>
    </row>
    <row r="35" spans="1:12" s="4" customFormat="1" x14ac:dyDescent="0.25">
      <c r="A35" s="1">
        <f t="shared" si="0"/>
        <v>6</v>
      </c>
      <c r="B35" s="6">
        <v>44960</v>
      </c>
      <c r="C35" s="39">
        <f t="shared" si="1"/>
        <v>0</v>
      </c>
      <c r="D35" s="1">
        <v>0</v>
      </c>
      <c r="E35" s="1">
        <v>0</v>
      </c>
      <c r="F35" s="1"/>
      <c r="G35" s="1">
        <v>0</v>
      </c>
      <c r="H35" s="1"/>
      <c r="I35" s="1">
        <v>0</v>
      </c>
      <c r="J35" s="1">
        <v>0</v>
      </c>
      <c r="K35" s="1"/>
      <c r="L35" s="1">
        <v>0</v>
      </c>
    </row>
    <row r="36" spans="1:12" s="4" customFormat="1" x14ac:dyDescent="0.25">
      <c r="A36" s="1">
        <f t="shared" si="0"/>
        <v>6</v>
      </c>
      <c r="B36" s="6">
        <v>44961</v>
      </c>
      <c r="C36" s="39">
        <f t="shared" si="1"/>
        <v>0</v>
      </c>
      <c r="D36" s="1">
        <v>0</v>
      </c>
      <c r="E36" s="1">
        <v>0</v>
      </c>
      <c r="F36" s="1"/>
      <c r="G36" s="1">
        <v>0</v>
      </c>
      <c r="H36" s="1"/>
      <c r="I36" s="1">
        <v>0</v>
      </c>
      <c r="J36" s="1">
        <v>0</v>
      </c>
      <c r="K36" s="1"/>
      <c r="L36" s="1">
        <v>0</v>
      </c>
    </row>
    <row r="37" spans="1:12" s="4" customFormat="1" x14ac:dyDescent="0.25">
      <c r="A37" s="1">
        <f t="shared" si="0"/>
        <v>6</v>
      </c>
      <c r="B37" s="6">
        <v>44962</v>
      </c>
      <c r="C37" s="39">
        <f t="shared" si="1"/>
        <v>0</v>
      </c>
      <c r="D37" s="1">
        <v>0</v>
      </c>
      <c r="E37" s="1">
        <v>0</v>
      </c>
      <c r="F37" s="1"/>
      <c r="G37" s="1">
        <v>0</v>
      </c>
      <c r="H37" s="1"/>
      <c r="I37" s="1">
        <v>0</v>
      </c>
      <c r="J37" s="1">
        <v>0</v>
      </c>
      <c r="K37" s="1"/>
      <c r="L37" s="1">
        <v>0</v>
      </c>
    </row>
    <row r="38" spans="1:12" s="4" customFormat="1" x14ac:dyDescent="0.25">
      <c r="A38" s="1">
        <f t="shared" si="0"/>
        <v>7</v>
      </c>
      <c r="B38" s="6">
        <v>44963</v>
      </c>
      <c r="C38" s="39">
        <f t="shared" si="1"/>
        <v>0</v>
      </c>
      <c r="D38" s="1">
        <v>0</v>
      </c>
      <c r="E38" s="1">
        <v>0</v>
      </c>
      <c r="F38" s="1"/>
      <c r="G38" s="1">
        <v>0</v>
      </c>
      <c r="H38" s="1"/>
      <c r="I38" s="1">
        <v>0</v>
      </c>
      <c r="J38" s="1">
        <v>0</v>
      </c>
      <c r="K38" s="1"/>
      <c r="L38" s="1">
        <v>0</v>
      </c>
    </row>
    <row r="39" spans="1:12" s="4" customFormat="1" x14ac:dyDescent="0.25">
      <c r="A39" s="1">
        <f t="shared" si="0"/>
        <v>7</v>
      </c>
      <c r="B39" s="6">
        <v>44964</v>
      </c>
      <c r="C39" s="39">
        <f t="shared" si="1"/>
        <v>0</v>
      </c>
      <c r="D39" s="1">
        <v>0</v>
      </c>
      <c r="E39" s="1">
        <v>0</v>
      </c>
      <c r="F39" s="1"/>
      <c r="G39" s="1">
        <v>0</v>
      </c>
      <c r="H39" s="1"/>
      <c r="I39" s="1">
        <v>0</v>
      </c>
      <c r="J39" s="1">
        <v>0</v>
      </c>
      <c r="K39" s="1"/>
      <c r="L39" s="1">
        <v>0</v>
      </c>
    </row>
    <row r="40" spans="1:12" s="4" customFormat="1" x14ac:dyDescent="0.25">
      <c r="A40" s="1">
        <f t="shared" si="0"/>
        <v>7</v>
      </c>
      <c r="B40" s="6">
        <v>44965</v>
      </c>
      <c r="C40" s="39">
        <f t="shared" si="1"/>
        <v>0.58333333333333337</v>
      </c>
      <c r="D40" s="1">
        <v>2</v>
      </c>
      <c r="E40" s="1">
        <v>0</v>
      </c>
      <c r="F40" s="1"/>
      <c r="G40" s="1">
        <v>1.5</v>
      </c>
      <c r="H40" s="1"/>
      <c r="I40" s="1">
        <v>0</v>
      </c>
      <c r="J40" s="1">
        <v>0</v>
      </c>
      <c r="K40" s="1"/>
      <c r="L40" s="1">
        <v>0</v>
      </c>
    </row>
    <row r="41" spans="1:12" s="4" customFormat="1" x14ac:dyDescent="0.25">
      <c r="A41" s="1">
        <f t="shared" si="0"/>
        <v>7</v>
      </c>
      <c r="B41" s="6">
        <v>44966</v>
      </c>
      <c r="C41" s="39">
        <f t="shared" si="1"/>
        <v>0</v>
      </c>
      <c r="D41" s="1">
        <v>0</v>
      </c>
      <c r="E41" s="1">
        <v>0</v>
      </c>
      <c r="F41" s="1"/>
      <c r="G41" s="1">
        <v>0</v>
      </c>
      <c r="H41" s="1"/>
      <c r="I41" s="1">
        <v>0</v>
      </c>
      <c r="J41" s="1">
        <v>0</v>
      </c>
      <c r="K41" s="1"/>
      <c r="L41" s="1">
        <v>0</v>
      </c>
    </row>
    <row r="42" spans="1:12" s="4" customFormat="1" x14ac:dyDescent="0.25">
      <c r="A42" s="1">
        <f t="shared" si="0"/>
        <v>7</v>
      </c>
      <c r="B42" s="6">
        <v>44967</v>
      </c>
      <c r="C42" s="39">
        <f t="shared" si="1"/>
        <v>0</v>
      </c>
      <c r="D42" s="1">
        <v>0</v>
      </c>
      <c r="E42" s="1">
        <v>0</v>
      </c>
      <c r="F42" s="1"/>
      <c r="G42" s="1">
        <v>0</v>
      </c>
      <c r="H42" s="1"/>
      <c r="I42" s="1">
        <v>0</v>
      </c>
      <c r="J42" s="1">
        <v>0</v>
      </c>
      <c r="K42" s="1"/>
      <c r="L42" s="1">
        <v>0</v>
      </c>
    </row>
    <row r="43" spans="1:12" s="4" customFormat="1" x14ac:dyDescent="0.25">
      <c r="A43" s="1">
        <f t="shared" si="0"/>
        <v>7</v>
      </c>
      <c r="B43" s="6">
        <v>44968</v>
      </c>
      <c r="C43" s="39">
        <f t="shared" si="1"/>
        <v>0</v>
      </c>
      <c r="D43" s="1">
        <v>0</v>
      </c>
      <c r="E43" s="1">
        <v>0</v>
      </c>
      <c r="F43" s="1"/>
      <c r="G43" s="1">
        <v>0</v>
      </c>
      <c r="H43" s="1"/>
      <c r="I43" s="1">
        <v>0</v>
      </c>
      <c r="J43" s="1">
        <v>0</v>
      </c>
      <c r="K43" s="1"/>
      <c r="L43" s="1">
        <v>0</v>
      </c>
    </row>
    <row r="44" spans="1:12" s="4" customFormat="1" x14ac:dyDescent="0.25">
      <c r="A44" s="1">
        <f t="shared" si="0"/>
        <v>7</v>
      </c>
      <c r="B44" s="6">
        <v>44969</v>
      </c>
      <c r="C44" s="39">
        <f t="shared" si="1"/>
        <v>0</v>
      </c>
      <c r="D44" s="1">
        <v>0</v>
      </c>
      <c r="E44" s="1">
        <v>0</v>
      </c>
      <c r="F44" s="1"/>
      <c r="G44" s="1">
        <v>0</v>
      </c>
      <c r="H44" s="1"/>
      <c r="I44" s="1">
        <v>0</v>
      </c>
      <c r="J44" s="1">
        <v>0</v>
      </c>
      <c r="K44" s="1"/>
      <c r="L44" s="1">
        <v>0</v>
      </c>
    </row>
    <row r="45" spans="1:12" s="4" customFormat="1" x14ac:dyDescent="0.25">
      <c r="A45" s="1">
        <f t="shared" si="0"/>
        <v>8</v>
      </c>
      <c r="B45" s="6">
        <v>44970</v>
      </c>
      <c r="C45" s="39">
        <f t="shared" si="1"/>
        <v>0</v>
      </c>
      <c r="D45" s="1">
        <v>0</v>
      </c>
      <c r="E45" s="1">
        <v>0</v>
      </c>
      <c r="F45" s="1"/>
      <c r="G45" s="1">
        <v>0</v>
      </c>
      <c r="H45" s="1"/>
      <c r="I45" s="1">
        <v>0</v>
      </c>
      <c r="J45" s="1">
        <v>0</v>
      </c>
      <c r="K45" s="1"/>
      <c r="L45" s="1">
        <v>0</v>
      </c>
    </row>
    <row r="46" spans="1:12" s="4" customFormat="1" x14ac:dyDescent="0.25">
      <c r="A46" s="1">
        <f t="shared" si="0"/>
        <v>8</v>
      </c>
      <c r="B46" s="6">
        <v>44971</v>
      </c>
      <c r="C46" s="39">
        <f t="shared" si="1"/>
        <v>0</v>
      </c>
      <c r="D46" s="1">
        <v>0</v>
      </c>
      <c r="E46" s="1">
        <v>0</v>
      </c>
      <c r="F46" s="1"/>
      <c r="G46" s="1">
        <v>0</v>
      </c>
      <c r="H46" s="1"/>
      <c r="I46" s="1">
        <v>0</v>
      </c>
      <c r="J46" s="1">
        <v>0</v>
      </c>
      <c r="K46" s="1"/>
      <c r="L46" s="1">
        <v>0</v>
      </c>
    </row>
    <row r="47" spans="1:12" s="4" customFormat="1" x14ac:dyDescent="0.25">
      <c r="A47" s="1">
        <f t="shared" si="0"/>
        <v>8</v>
      </c>
      <c r="B47" s="6">
        <v>44972</v>
      </c>
      <c r="C47" s="39">
        <f t="shared" si="1"/>
        <v>0</v>
      </c>
      <c r="D47" s="1">
        <v>0</v>
      </c>
      <c r="E47" s="1">
        <v>0</v>
      </c>
      <c r="F47" s="1"/>
      <c r="G47" s="1">
        <v>0</v>
      </c>
      <c r="H47" s="1"/>
      <c r="I47" s="1">
        <v>0</v>
      </c>
      <c r="J47" s="1">
        <v>0</v>
      </c>
      <c r="K47" s="1"/>
      <c r="L47" s="1">
        <v>0</v>
      </c>
    </row>
    <row r="48" spans="1:12" s="4" customFormat="1" x14ac:dyDescent="0.25">
      <c r="A48" s="1">
        <f t="shared" si="0"/>
        <v>8</v>
      </c>
      <c r="B48" s="6">
        <v>44973</v>
      </c>
      <c r="C48" s="39">
        <f t="shared" si="1"/>
        <v>0</v>
      </c>
      <c r="D48" s="1">
        <v>0</v>
      </c>
      <c r="E48" s="1">
        <v>0</v>
      </c>
      <c r="F48" s="1"/>
      <c r="G48" s="1">
        <v>0</v>
      </c>
      <c r="H48" s="1"/>
      <c r="I48" s="1">
        <v>0</v>
      </c>
      <c r="J48" s="1">
        <v>0</v>
      </c>
      <c r="K48" s="1"/>
      <c r="L48" s="1">
        <v>0</v>
      </c>
    </row>
    <row r="49" spans="1:13" s="4" customFormat="1" x14ac:dyDescent="0.25">
      <c r="A49" s="1">
        <f t="shared" si="0"/>
        <v>8</v>
      </c>
      <c r="B49" s="6">
        <v>44974</v>
      </c>
      <c r="C49" s="39">
        <f t="shared" si="1"/>
        <v>0</v>
      </c>
      <c r="D49" s="1">
        <v>0</v>
      </c>
      <c r="E49" s="1">
        <v>0</v>
      </c>
      <c r="F49" s="1"/>
      <c r="G49" s="1">
        <v>0</v>
      </c>
      <c r="H49" s="1"/>
      <c r="I49" s="1">
        <v>0</v>
      </c>
      <c r="J49" s="1">
        <v>0</v>
      </c>
      <c r="K49" s="1"/>
      <c r="L49" s="1">
        <v>0</v>
      </c>
    </row>
    <row r="50" spans="1:13" s="4" customFormat="1" x14ac:dyDescent="0.25">
      <c r="A50" s="1">
        <f t="shared" si="0"/>
        <v>8</v>
      </c>
      <c r="B50" s="6">
        <v>44975</v>
      </c>
      <c r="C50" s="39">
        <f t="shared" si="1"/>
        <v>0</v>
      </c>
      <c r="D50" s="1">
        <v>0</v>
      </c>
      <c r="E50" s="1">
        <v>0</v>
      </c>
      <c r="F50" s="1"/>
      <c r="G50" s="1">
        <v>0</v>
      </c>
      <c r="H50" s="1"/>
      <c r="I50" s="1">
        <v>0</v>
      </c>
      <c r="J50" s="1">
        <v>0</v>
      </c>
      <c r="K50" s="1"/>
      <c r="L50" s="1">
        <v>0</v>
      </c>
    </row>
    <row r="51" spans="1:13" s="4" customFormat="1" x14ac:dyDescent="0.25">
      <c r="A51" s="1">
        <f t="shared" si="0"/>
        <v>8</v>
      </c>
      <c r="B51" s="6">
        <v>44976</v>
      </c>
      <c r="C51" s="39">
        <f t="shared" si="1"/>
        <v>0</v>
      </c>
      <c r="D51" s="1">
        <v>0</v>
      </c>
      <c r="E51" s="1">
        <v>0</v>
      </c>
      <c r="F51" s="1"/>
      <c r="G51" s="1">
        <v>0</v>
      </c>
      <c r="H51" s="1"/>
      <c r="I51" s="1">
        <v>0</v>
      </c>
      <c r="J51" s="1">
        <v>0</v>
      </c>
      <c r="K51" s="1"/>
      <c r="L51" s="1">
        <v>0</v>
      </c>
    </row>
    <row r="52" spans="1:13" s="4" customFormat="1" x14ac:dyDescent="0.25">
      <c r="A52" s="1">
        <f t="shared" si="0"/>
        <v>9</v>
      </c>
      <c r="B52" s="6">
        <v>44977</v>
      </c>
      <c r="C52" s="39">
        <f t="shared" si="1"/>
        <v>0</v>
      </c>
      <c r="D52" s="1">
        <v>0</v>
      </c>
      <c r="E52" s="1">
        <v>0</v>
      </c>
      <c r="F52" s="1"/>
      <c r="G52" s="1">
        <v>0</v>
      </c>
      <c r="H52" s="1"/>
      <c r="I52" s="1">
        <v>0</v>
      </c>
      <c r="J52" s="1">
        <v>0</v>
      </c>
      <c r="K52" s="1"/>
      <c r="L52" s="1">
        <v>0</v>
      </c>
    </row>
    <row r="53" spans="1:13" s="4" customFormat="1" x14ac:dyDescent="0.25">
      <c r="A53" s="1">
        <f t="shared" si="0"/>
        <v>9</v>
      </c>
      <c r="B53" s="6">
        <v>44978</v>
      </c>
      <c r="C53" s="39">
        <f t="shared" si="1"/>
        <v>0</v>
      </c>
      <c r="D53" s="1">
        <v>0</v>
      </c>
      <c r="E53" s="1">
        <v>0</v>
      </c>
      <c r="F53" s="1"/>
      <c r="G53" s="1">
        <v>0</v>
      </c>
      <c r="H53" s="1"/>
      <c r="I53" s="1">
        <v>0</v>
      </c>
      <c r="J53" s="1">
        <v>0</v>
      </c>
      <c r="K53" s="1"/>
      <c r="L53" s="1">
        <v>0</v>
      </c>
    </row>
    <row r="54" spans="1:13" s="4" customFormat="1" x14ac:dyDescent="0.25">
      <c r="A54" s="1">
        <f t="shared" si="0"/>
        <v>9</v>
      </c>
      <c r="B54" s="6">
        <v>44979</v>
      </c>
      <c r="C54" s="39">
        <f t="shared" si="1"/>
        <v>0</v>
      </c>
      <c r="D54" s="1">
        <v>0</v>
      </c>
      <c r="E54" s="1">
        <v>0</v>
      </c>
      <c r="F54" s="1"/>
      <c r="G54" s="1">
        <v>0</v>
      </c>
      <c r="H54" s="1"/>
      <c r="I54" s="1">
        <v>0</v>
      </c>
      <c r="J54" s="1">
        <v>0</v>
      </c>
      <c r="K54" s="1"/>
      <c r="L54" s="1">
        <v>0</v>
      </c>
    </row>
    <row r="55" spans="1:13" s="4" customFormat="1" x14ac:dyDescent="0.25">
      <c r="A55" s="1">
        <f t="shared" si="0"/>
        <v>9</v>
      </c>
      <c r="B55" s="6">
        <v>44980</v>
      </c>
      <c r="C55" s="39">
        <f t="shared" si="1"/>
        <v>0</v>
      </c>
      <c r="D55" s="1">
        <v>0</v>
      </c>
      <c r="E55" s="1">
        <v>0</v>
      </c>
      <c r="F55" s="1"/>
      <c r="G55" s="1">
        <v>0</v>
      </c>
      <c r="H55" s="1"/>
      <c r="I55" s="1">
        <v>0</v>
      </c>
      <c r="J55" s="1">
        <v>0</v>
      </c>
      <c r="K55" s="1"/>
      <c r="L55" s="1">
        <v>0</v>
      </c>
    </row>
    <row r="56" spans="1:13" s="4" customFormat="1" x14ac:dyDescent="0.25">
      <c r="A56" s="1">
        <f t="shared" si="0"/>
        <v>9</v>
      </c>
      <c r="B56" s="6">
        <v>44981</v>
      </c>
      <c r="C56" s="39">
        <f t="shared" si="1"/>
        <v>0</v>
      </c>
      <c r="D56" s="1">
        <v>0</v>
      </c>
      <c r="E56" s="1">
        <v>0</v>
      </c>
      <c r="F56" s="1"/>
      <c r="G56" s="1">
        <v>0</v>
      </c>
      <c r="H56" s="1"/>
      <c r="I56" s="1">
        <v>0</v>
      </c>
      <c r="J56" s="1">
        <v>0</v>
      </c>
      <c r="K56" s="1"/>
      <c r="L56" s="1">
        <v>0</v>
      </c>
    </row>
    <row r="57" spans="1:13" s="4" customFormat="1" x14ac:dyDescent="0.25">
      <c r="A57" s="1">
        <f t="shared" si="0"/>
        <v>9</v>
      </c>
      <c r="B57" s="6">
        <v>44982</v>
      </c>
      <c r="C57" s="39">
        <f t="shared" si="1"/>
        <v>0</v>
      </c>
      <c r="D57" s="1">
        <v>0</v>
      </c>
      <c r="E57" s="1">
        <v>0</v>
      </c>
      <c r="F57" s="1"/>
      <c r="G57" s="1">
        <v>0</v>
      </c>
      <c r="H57" s="1"/>
      <c r="I57" s="1">
        <v>0</v>
      </c>
      <c r="J57" s="1">
        <v>0</v>
      </c>
      <c r="K57" s="1"/>
      <c r="L57" s="1">
        <v>0</v>
      </c>
    </row>
    <row r="58" spans="1:13" s="4" customFormat="1" x14ac:dyDescent="0.25">
      <c r="A58" s="1"/>
      <c r="B58" s="6">
        <v>44983</v>
      </c>
      <c r="C58" s="39">
        <f t="shared" si="1"/>
        <v>0</v>
      </c>
      <c r="D58" s="1">
        <v>0</v>
      </c>
      <c r="E58" s="1">
        <v>0</v>
      </c>
      <c r="F58" s="1"/>
      <c r="G58" s="1">
        <v>0</v>
      </c>
      <c r="H58" s="1"/>
      <c r="I58" s="1">
        <v>0</v>
      </c>
      <c r="J58" s="1">
        <v>0</v>
      </c>
      <c r="K58" s="1"/>
      <c r="L58" s="1">
        <v>0</v>
      </c>
    </row>
    <row r="59" spans="1:13" s="4" customFormat="1" x14ac:dyDescent="0.25">
      <c r="A59" s="1">
        <f t="shared" si="0"/>
        <v>10</v>
      </c>
      <c r="B59" s="6">
        <v>44984</v>
      </c>
      <c r="C59" s="39">
        <f t="shared" si="1"/>
        <v>0</v>
      </c>
      <c r="D59" s="1">
        <v>0</v>
      </c>
      <c r="E59" s="1">
        <v>0</v>
      </c>
      <c r="F59" s="1"/>
      <c r="G59" s="1">
        <v>0</v>
      </c>
      <c r="H59" s="1"/>
      <c r="I59" s="1">
        <v>0</v>
      </c>
      <c r="J59" s="1">
        <v>0</v>
      </c>
      <c r="K59" s="1"/>
      <c r="L59" s="1">
        <v>0</v>
      </c>
    </row>
    <row r="60" spans="1:13" s="14" customFormat="1" ht="15.75" thickBot="1" x14ac:dyDescent="0.3">
      <c r="A60" s="13">
        <f t="shared" si="0"/>
        <v>10</v>
      </c>
      <c r="B60" s="6">
        <v>44985</v>
      </c>
      <c r="C60" s="39">
        <f t="shared" si="1"/>
        <v>0</v>
      </c>
      <c r="D60" s="1">
        <v>0</v>
      </c>
      <c r="E60" s="1">
        <v>0</v>
      </c>
      <c r="F60" s="1"/>
      <c r="G60" s="1">
        <v>0</v>
      </c>
      <c r="H60" s="1"/>
      <c r="I60" s="1">
        <v>0</v>
      </c>
      <c r="J60" s="1">
        <v>0</v>
      </c>
      <c r="K60" s="1"/>
      <c r="L60" s="1">
        <v>0</v>
      </c>
      <c r="M60" s="14">
        <f>SUM(C33:C60)</f>
        <v>0.58333333333333337</v>
      </c>
    </row>
    <row r="61" spans="1:13" s="4" customFormat="1" ht="15.75" thickTop="1" x14ac:dyDescent="0.25">
      <c r="A61" s="1">
        <f t="shared" si="0"/>
        <v>10</v>
      </c>
      <c r="B61" s="6">
        <v>44986</v>
      </c>
      <c r="C61" s="39">
        <f t="shared" si="1"/>
        <v>0</v>
      </c>
      <c r="D61" s="1">
        <v>0</v>
      </c>
      <c r="E61" s="1">
        <v>0</v>
      </c>
      <c r="F61" s="1"/>
      <c r="G61" s="1">
        <v>0</v>
      </c>
      <c r="H61" s="1"/>
      <c r="I61" s="1">
        <v>0</v>
      </c>
      <c r="J61" s="1">
        <v>0</v>
      </c>
      <c r="K61" s="1"/>
      <c r="L61" s="1">
        <v>0</v>
      </c>
    </row>
    <row r="62" spans="1:13" s="4" customFormat="1" x14ac:dyDescent="0.25">
      <c r="A62" s="1">
        <f t="shared" si="0"/>
        <v>10</v>
      </c>
      <c r="B62" s="6">
        <v>44987</v>
      </c>
      <c r="C62" s="39">
        <f t="shared" si="1"/>
        <v>0</v>
      </c>
      <c r="D62" s="1">
        <v>0</v>
      </c>
      <c r="E62" s="1">
        <v>0</v>
      </c>
      <c r="F62" s="1"/>
      <c r="G62" s="1">
        <v>0</v>
      </c>
      <c r="H62" s="1"/>
      <c r="I62" s="1">
        <v>0</v>
      </c>
      <c r="J62" s="1">
        <v>0</v>
      </c>
      <c r="K62" s="1"/>
      <c r="L62" s="1">
        <v>0</v>
      </c>
    </row>
    <row r="63" spans="1:13" s="4" customFormat="1" x14ac:dyDescent="0.25">
      <c r="A63" s="1">
        <f t="shared" si="0"/>
        <v>10</v>
      </c>
      <c r="B63" s="6">
        <v>44988</v>
      </c>
      <c r="C63" s="39">
        <f t="shared" si="1"/>
        <v>0</v>
      </c>
      <c r="D63" s="1">
        <v>0</v>
      </c>
      <c r="E63" s="1">
        <v>0</v>
      </c>
      <c r="F63" s="1"/>
      <c r="G63" s="1">
        <v>0</v>
      </c>
      <c r="H63" s="1"/>
      <c r="I63" s="1">
        <v>0</v>
      </c>
      <c r="J63" s="1">
        <v>0</v>
      </c>
      <c r="K63" s="1"/>
      <c r="L63" s="1">
        <v>0</v>
      </c>
    </row>
    <row r="64" spans="1:13" s="4" customFormat="1" x14ac:dyDescent="0.25">
      <c r="A64" s="1">
        <f t="shared" si="0"/>
        <v>10</v>
      </c>
      <c r="B64" s="6">
        <v>44989</v>
      </c>
      <c r="C64" s="39">
        <f t="shared" si="1"/>
        <v>0</v>
      </c>
      <c r="D64" s="1">
        <v>0</v>
      </c>
      <c r="E64" s="1">
        <v>0</v>
      </c>
      <c r="F64" s="1"/>
      <c r="G64" s="1">
        <v>0</v>
      </c>
      <c r="H64" s="1"/>
      <c r="I64" s="1">
        <v>0</v>
      </c>
      <c r="J64" s="1">
        <v>0</v>
      </c>
      <c r="K64" s="1"/>
      <c r="L64" s="1">
        <v>0</v>
      </c>
    </row>
    <row r="65" spans="1:12" s="4" customFormat="1" x14ac:dyDescent="0.25">
      <c r="A65" s="1">
        <f t="shared" si="0"/>
        <v>10</v>
      </c>
      <c r="B65" s="6">
        <v>44990</v>
      </c>
      <c r="C65" s="39">
        <f t="shared" si="1"/>
        <v>0</v>
      </c>
      <c r="D65" s="1">
        <v>0</v>
      </c>
      <c r="E65" s="1">
        <v>0</v>
      </c>
      <c r="F65" s="1"/>
      <c r="G65" s="1">
        <v>0</v>
      </c>
      <c r="H65" s="1"/>
      <c r="I65" s="1">
        <v>0</v>
      </c>
      <c r="J65" s="1">
        <v>0</v>
      </c>
      <c r="K65" s="1"/>
      <c r="L65" s="1">
        <v>0</v>
      </c>
    </row>
    <row r="66" spans="1:12" s="4" customFormat="1" x14ac:dyDescent="0.25">
      <c r="A66" s="1">
        <f t="shared" si="0"/>
        <v>11</v>
      </c>
      <c r="B66" s="6">
        <v>44991</v>
      </c>
      <c r="C66" s="39">
        <f t="shared" si="1"/>
        <v>0</v>
      </c>
      <c r="D66" s="1">
        <v>0</v>
      </c>
      <c r="E66" s="1">
        <v>0</v>
      </c>
      <c r="F66" s="1"/>
      <c r="G66" s="1">
        <v>0</v>
      </c>
      <c r="H66" s="1"/>
      <c r="I66" s="1">
        <v>0</v>
      </c>
      <c r="J66" s="1">
        <v>0</v>
      </c>
      <c r="K66" s="1"/>
      <c r="L66" s="1">
        <v>0</v>
      </c>
    </row>
    <row r="67" spans="1:12" s="4" customFormat="1" x14ac:dyDescent="0.25">
      <c r="A67" s="1">
        <f t="shared" ref="A67:A130" si="3">WEEKNUM($B67,2)</f>
        <v>11</v>
      </c>
      <c r="B67" s="6">
        <v>44992</v>
      </c>
      <c r="C67" s="39">
        <f t="shared" ref="C67:C130" si="4">AVERAGE(D67:L67)</f>
        <v>0</v>
      </c>
      <c r="D67" s="1">
        <v>0</v>
      </c>
      <c r="E67" s="1">
        <v>0</v>
      </c>
      <c r="F67" s="1"/>
      <c r="G67" s="1">
        <v>0</v>
      </c>
      <c r="H67" s="1"/>
      <c r="I67" s="1">
        <v>0</v>
      </c>
      <c r="J67" s="1">
        <v>0</v>
      </c>
      <c r="K67" s="1"/>
      <c r="L67" s="1">
        <v>0</v>
      </c>
    </row>
    <row r="68" spans="1:12" s="4" customFormat="1" x14ac:dyDescent="0.25">
      <c r="A68" s="1">
        <f t="shared" si="3"/>
        <v>11</v>
      </c>
      <c r="B68" s="6">
        <v>44993</v>
      </c>
      <c r="C68" s="39">
        <f t="shared" si="4"/>
        <v>0</v>
      </c>
      <c r="D68" s="1">
        <v>0</v>
      </c>
      <c r="E68" s="1">
        <v>0</v>
      </c>
      <c r="F68" s="1"/>
      <c r="G68" s="1">
        <v>0</v>
      </c>
      <c r="H68" s="1"/>
      <c r="I68" s="1">
        <v>0</v>
      </c>
      <c r="J68" s="1">
        <v>0</v>
      </c>
      <c r="K68" s="1"/>
      <c r="L68" s="1">
        <v>0</v>
      </c>
    </row>
    <row r="69" spans="1:12" s="4" customFormat="1" x14ac:dyDescent="0.25">
      <c r="A69" s="1">
        <f t="shared" si="3"/>
        <v>11</v>
      </c>
      <c r="B69" s="6">
        <v>44994</v>
      </c>
      <c r="C69" s="39">
        <f t="shared" si="4"/>
        <v>0</v>
      </c>
      <c r="D69" s="1">
        <v>0</v>
      </c>
      <c r="E69" s="1">
        <v>0</v>
      </c>
      <c r="F69" s="1"/>
      <c r="G69" s="1">
        <v>0</v>
      </c>
      <c r="H69" s="1"/>
      <c r="I69" s="1">
        <v>0</v>
      </c>
      <c r="J69" s="1">
        <v>0</v>
      </c>
      <c r="K69" s="1"/>
      <c r="L69" s="1">
        <v>0</v>
      </c>
    </row>
    <row r="70" spans="1:12" s="4" customFormat="1" x14ac:dyDescent="0.25">
      <c r="A70" s="1">
        <f t="shared" si="3"/>
        <v>11</v>
      </c>
      <c r="B70" s="6">
        <v>44995</v>
      </c>
      <c r="C70" s="39">
        <f t="shared" si="4"/>
        <v>0</v>
      </c>
      <c r="D70" s="1">
        <v>0</v>
      </c>
      <c r="E70" s="1">
        <v>0</v>
      </c>
      <c r="F70" s="1"/>
      <c r="G70" s="1">
        <v>0</v>
      </c>
      <c r="H70" s="1"/>
      <c r="I70" s="1">
        <v>0</v>
      </c>
      <c r="J70" s="1">
        <v>0</v>
      </c>
      <c r="K70" s="1"/>
      <c r="L70" s="1">
        <v>0</v>
      </c>
    </row>
    <row r="71" spans="1:12" s="4" customFormat="1" x14ac:dyDescent="0.25">
      <c r="A71" s="1">
        <f t="shared" si="3"/>
        <v>11</v>
      </c>
      <c r="B71" s="6">
        <v>44996</v>
      </c>
      <c r="C71" s="39">
        <f t="shared" si="4"/>
        <v>0</v>
      </c>
      <c r="D71" s="1">
        <v>0</v>
      </c>
      <c r="E71" s="1">
        <v>0</v>
      </c>
      <c r="F71" s="1"/>
      <c r="G71" s="1">
        <v>0</v>
      </c>
      <c r="H71" s="1"/>
      <c r="I71" s="1">
        <v>0</v>
      </c>
      <c r="J71" s="1">
        <v>0</v>
      </c>
      <c r="K71" s="1"/>
      <c r="L71" s="1">
        <v>0</v>
      </c>
    </row>
    <row r="72" spans="1:12" s="4" customFormat="1" x14ac:dyDescent="0.25">
      <c r="A72" s="1">
        <f t="shared" si="3"/>
        <v>11</v>
      </c>
      <c r="B72" s="6">
        <v>44997</v>
      </c>
      <c r="C72" s="39">
        <f t="shared" si="4"/>
        <v>6.2683333333333335</v>
      </c>
      <c r="D72" s="1">
        <v>6</v>
      </c>
      <c r="E72" s="1">
        <v>3.5</v>
      </c>
      <c r="F72" s="1"/>
      <c r="G72" s="1">
        <v>5.5</v>
      </c>
      <c r="H72" s="1"/>
      <c r="I72" s="1">
        <v>6</v>
      </c>
      <c r="J72" s="1">
        <v>6.81</v>
      </c>
      <c r="K72" s="1"/>
      <c r="L72" s="1">
        <v>9.8000000000000007</v>
      </c>
    </row>
    <row r="73" spans="1:12" s="4" customFormat="1" x14ac:dyDescent="0.25">
      <c r="A73" s="1">
        <f t="shared" si="3"/>
        <v>12</v>
      </c>
      <c r="B73" s="6">
        <v>44998</v>
      </c>
      <c r="C73" s="39">
        <f t="shared" si="4"/>
        <v>0</v>
      </c>
      <c r="D73" s="1">
        <v>0</v>
      </c>
      <c r="E73" s="1">
        <v>0</v>
      </c>
      <c r="F73" s="1"/>
      <c r="G73" s="1">
        <v>0</v>
      </c>
      <c r="H73" s="1"/>
      <c r="I73" s="1">
        <v>0</v>
      </c>
      <c r="J73" s="1">
        <v>0</v>
      </c>
      <c r="K73" s="1"/>
      <c r="L73" s="1">
        <v>0</v>
      </c>
    </row>
    <row r="74" spans="1:12" s="4" customFormat="1" x14ac:dyDescent="0.25">
      <c r="A74" s="1">
        <f t="shared" si="3"/>
        <v>12</v>
      </c>
      <c r="B74" s="6">
        <v>44999</v>
      </c>
      <c r="C74" s="39">
        <f t="shared" si="4"/>
        <v>0</v>
      </c>
      <c r="D74" s="1">
        <v>0</v>
      </c>
      <c r="E74" s="1">
        <v>0</v>
      </c>
      <c r="F74" s="1"/>
      <c r="G74" s="1">
        <v>0</v>
      </c>
      <c r="H74" s="1"/>
      <c r="I74" s="1">
        <v>0</v>
      </c>
      <c r="J74" s="1">
        <v>0</v>
      </c>
      <c r="K74" s="1"/>
      <c r="L74" s="1">
        <v>0</v>
      </c>
    </row>
    <row r="75" spans="1:12" s="4" customFormat="1" x14ac:dyDescent="0.25">
      <c r="A75" s="1">
        <f t="shared" si="3"/>
        <v>12</v>
      </c>
      <c r="B75" s="6">
        <v>45000</v>
      </c>
      <c r="C75" s="39">
        <f t="shared" si="4"/>
        <v>0</v>
      </c>
      <c r="D75" s="1">
        <v>0</v>
      </c>
      <c r="E75" s="1">
        <v>0</v>
      </c>
      <c r="F75" s="1"/>
      <c r="G75" s="1">
        <v>0</v>
      </c>
      <c r="H75" s="1"/>
      <c r="I75" s="1">
        <v>0</v>
      </c>
      <c r="J75" s="1">
        <v>0</v>
      </c>
      <c r="K75" s="1"/>
      <c r="L75" s="1">
        <v>0</v>
      </c>
    </row>
    <row r="76" spans="1:12" s="4" customFormat="1" x14ac:dyDescent="0.25">
      <c r="A76" s="1">
        <f t="shared" si="3"/>
        <v>12</v>
      </c>
      <c r="B76" s="6">
        <v>45001</v>
      </c>
      <c r="C76" s="39">
        <f t="shared" si="4"/>
        <v>0</v>
      </c>
      <c r="D76" s="1">
        <v>0</v>
      </c>
      <c r="E76" s="1">
        <v>0</v>
      </c>
      <c r="F76" s="1"/>
      <c r="G76" s="1">
        <v>0</v>
      </c>
      <c r="H76" s="1"/>
      <c r="I76" s="1">
        <v>0</v>
      </c>
      <c r="J76" s="1">
        <v>0</v>
      </c>
      <c r="K76" s="1"/>
      <c r="L76" s="1">
        <v>0</v>
      </c>
    </row>
    <row r="77" spans="1:12" s="4" customFormat="1" x14ac:dyDescent="0.25">
      <c r="A77" s="1">
        <f t="shared" si="3"/>
        <v>12</v>
      </c>
      <c r="B77" s="6">
        <v>45002</v>
      </c>
      <c r="C77" s="39">
        <f t="shared" si="4"/>
        <v>0</v>
      </c>
      <c r="D77" s="1">
        <v>0</v>
      </c>
      <c r="E77" s="1">
        <v>0</v>
      </c>
      <c r="F77" s="1"/>
      <c r="G77" s="1">
        <v>0</v>
      </c>
      <c r="H77" s="1"/>
      <c r="I77" s="1">
        <v>0</v>
      </c>
      <c r="J77" s="1">
        <v>0</v>
      </c>
      <c r="K77" s="1"/>
      <c r="L77" s="1">
        <v>0</v>
      </c>
    </row>
    <row r="78" spans="1:12" s="4" customFormat="1" x14ac:dyDescent="0.25">
      <c r="A78" s="1">
        <f t="shared" si="3"/>
        <v>12</v>
      </c>
      <c r="B78" s="6">
        <v>45003</v>
      </c>
      <c r="C78" s="39">
        <f t="shared" si="4"/>
        <v>0</v>
      </c>
      <c r="D78" s="1">
        <v>0</v>
      </c>
      <c r="E78" s="1">
        <v>0</v>
      </c>
      <c r="F78" s="1"/>
      <c r="G78" s="1">
        <v>0</v>
      </c>
      <c r="H78" s="1"/>
      <c r="I78" s="1">
        <v>0</v>
      </c>
      <c r="J78" s="1">
        <v>0</v>
      </c>
      <c r="K78" s="1"/>
      <c r="L78" s="1">
        <v>0</v>
      </c>
    </row>
    <row r="79" spans="1:12" s="4" customFormat="1" x14ac:dyDescent="0.25">
      <c r="A79" s="1">
        <f t="shared" si="3"/>
        <v>12</v>
      </c>
      <c r="B79" s="6">
        <v>45004</v>
      </c>
      <c r="C79" s="39">
        <f t="shared" si="4"/>
        <v>0</v>
      </c>
      <c r="D79" s="1">
        <v>0</v>
      </c>
      <c r="E79" s="1">
        <v>0</v>
      </c>
      <c r="F79" s="1"/>
      <c r="G79" s="1">
        <v>0</v>
      </c>
      <c r="H79" s="1"/>
      <c r="I79" s="1">
        <v>0</v>
      </c>
      <c r="J79" s="1">
        <v>0</v>
      </c>
      <c r="K79" s="1"/>
      <c r="L79" s="1">
        <v>0</v>
      </c>
    </row>
    <row r="80" spans="1:12" s="4" customFormat="1" x14ac:dyDescent="0.25">
      <c r="A80" s="1">
        <f t="shared" si="3"/>
        <v>13</v>
      </c>
      <c r="B80" s="6">
        <v>45005</v>
      </c>
      <c r="C80" s="39">
        <f t="shared" si="4"/>
        <v>0</v>
      </c>
      <c r="D80" s="1">
        <v>0</v>
      </c>
      <c r="E80" s="1">
        <v>0</v>
      </c>
      <c r="F80" s="1"/>
      <c r="G80" s="1">
        <v>0</v>
      </c>
      <c r="H80" s="1"/>
      <c r="I80" s="1">
        <v>0</v>
      </c>
      <c r="J80" s="1">
        <v>0</v>
      </c>
      <c r="K80" s="1"/>
      <c r="L80" s="1">
        <v>0</v>
      </c>
    </row>
    <row r="81" spans="1:13" s="4" customFormat="1" x14ac:dyDescent="0.25">
      <c r="A81" s="1">
        <f t="shared" si="3"/>
        <v>13</v>
      </c>
      <c r="B81" s="6">
        <v>45006</v>
      </c>
      <c r="C81" s="39">
        <f t="shared" si="4"/>
        <v>0</v>
      </c>
      <c r="D81" s="1">
        <v>0</v>
      </c>
      <c r="E81" s="1">
        <v>0</v>
      </c>
      <c r="F81" s="1"/>
      <c r="G81" s="1">
        <v>0</v>
      </c>
      <c r="H81" s="1"/>
      <c r="I81" s="1">
        <v>0</v>
      </c>
      <c r="J81" s="1">
        <v>0</v>
      </c>
      <c r="K81" s="1"/>
      <c r="L81" s="1">
        <v>0</v>
      </c>
    </row>
    <row r="82" spans="1:13" s="4" customFormat="1" x14ac:dyDescent="0.25">
      <c r="A82" s="1">
        <f t="shared" si="3"/>
        <v>13</v>
      </c>
      <c r="B82" s="6">
        <v>45007</v>
      </c>
      <c r="C82" s="39">
        <f t="shared" si="4"/>
        <v>0</v>
      </c>
      <c r="D82" s="1">
        <v>0</v>
      </c>
      <c r="E82" s="1">
        <v>0</v>
      </c>
      <c r="F82" s="1"/>
      <c r="G82" s="1">
        <v>0</v>
      </c>
      <c r="H82" s="1"/>
      <c r="I82" s="1">
        <v>0</v>
      </c>
      <c r="J82" s="1">
        <v>0</v>
      </c>
      <c r="K82" s="1"/>
      <c r="L82" s="1">
        <v>0</v>
      </c>
    </row>
    <row r="83" spans="1:13" s="4" customFormat="1" x14ac:dyDescent="0.25">
      <c r="A83" s="1">
        <f t="shared" si="3"/>
        <v>13</v>
      </c>
      <c r="B83" s="6">
        <v>45008</v>
      </c>
      <c r="C83" s="39">
        <f t="shared" si="4"/>
        <v>0</v>
      </c>
      <c r="D83" s="1">
        <v>0</v>
      </c>
      <c r="E83" s="1">
        <v>0</v>
      </c>
      <c r="F83" s="1"/>
      <c r="G83" s="1">
        <v>0</v>
      </c>
      <c r="H83" s="1"/>
      <c r="I83" s="1">
        <v>0</v>
      </c>
      <c r="J83" s="1">
        <v>0</v>
      </c>
      <c r="K83" s="1"/>
      <c r="L83" s="1">
        <v>0</v>
      </c>
    </row>
    <row r="84" spans="1:13" s="4" customFormat="1" x14ac:dyDescent="0.25">
      <c r="A84" s="1">
        <f t="shared" si="3"/>
        <v>13</v>
      </c>
      <c r="B84" s="6">
        <v>45009</v>
      </c>
      <c r="C84" s="39">
        <f t="shared" si="4"/>
        <v>0</v>
      </c>
      <c r="D84" s="1">
        <v>0</v>
      </c>
      <c r="E84" s="1">
        <v>0</v>
      </c>
      <c r="F84" s="1"/>
      <c r="G84" s="1">
        <v>0</v>
      </c>
      <c r="H84" s="1"/>
      <c r="I84" s="1">
        <v>0</v>
      </c>
      <c r="J84" s="1">
        <v>0</v>
      </c>
      <c r="K84" s="1"/>
      <c r="L84" s="1">
        <v>0</v>
      </c>
    </row>
    <row r="85" spans="1:13" s="4" customFormat="1" x14ac:dyDescent="0.25">
      <c r="A85" s="1">
        <f t="shared" si="3"/>
        <v>13</v>
      </c>
      <c r="B85" s="6">
        <v>45010</v>
      </c>
      <c r="C85" s="39">
        <f t="shared" si="4"/>
        <v>0</v>
      </c>
      <c r="D85" s="1">
        <v>0</v>
      </c>
      <c r="E85" s="1">
        <v>0</v>
      </c>
      <c r="F85" s="1"/>
      <c r="G85" s="1">
        <v>0</v>
      </c>
      <c r="H85" s="1"/>
      <c r="I85" s="1">
        <v>0</v>
      </c>
      <c r="J85" s="1">
        <v>0</v>
      </c>
      <c r="K85" s="1"/>
      <c r="L85" s="1">
        <v>0</v>
      </c>
    </row>
    <row r="86" spans="1:13" s="4" customFormat="1" x14ac:dyDescent="0.25">
      <c r="A86" s="1">
        <f t="shared" si="3"/>
        <v>13</v>
      </c>
      <c r="B86" s="6">
        <v>45011</v>
      </c>
      <c r="C86" s="39">
        <f t="shared" si="4"/>
        <v>0.66666666666666663</v>
      </c>
      <c r="D86" s="1">
        <v>2</v>
      </c>
      <c r="E86" s="1">
        <v>0</v>
      </c>
      <c r="F86" s="1"/>
      <c r="G86" s="1">
        <v>2</v>
      </c>
      <c r="H86" s="1"/>
      <c r="I86" s="1">
        <v>0</v>
      </c>
      <c r="J86" s="1">
        <v>0</v>
      </c>
      <c r="K86" s="1"/>
      <c r="L86" s="1">
        <v>0</v>
      </c>
    </row>
    <row r="87" spans="1:13" s="4" customFormat="1" x14ac:dyDescent="0.25">
      <c r="A87" s="1">
        <f t="shared" si="3"/>
        <v>14</v>
      </c>
      <c r="B87" s="6">
        <v>45012</v>
      </c>
      <c r="C87" s="39">
        <f t="shared" si="4"/>
        <v>0</v>
      </c>
      <c r="D87" s="1">
        <v>0</v>
      </c>
      <c r="E87" s="1">
        <v>0</v>
      </c>
      <c r="F87" s="1"/>
      <c r="G87" s="1">
        <v>0</v>
      </c>
      <c r="H87" s="1"/>
      <c r="I87" s="1">
        <v>0</v>
      </c>
      <c r="J87" s="1">
        <v>0</v>
      </c>
      <c r="K87" s="1"/>
      <c r="L87" s="1">
        <v>0</v>
      </c>
    </row>
    <row r="88" spans="1:13" s="4" customFormat="1" x14ac:dyDescent="0.25">
      <c r="A88" s="1">
        <f t="shared" si="3"/>
        <v>14</v>
      </c>
      <c r="B88" s="6">
        <v>45013</v>
      </c>
      <c r="C88" s="39">
        <f t="shared" si="4"/>
        <v>0</v>
      </c>
      <c r="D88" s="1">
        <v>0</v>
      </c>
      <c r="E88" s="1">
        <v>0</v>
      </c>
      <c r="F88" s="1"/>
      <c r="G88" s="1">
        <v>0</v>
      </c>
      <c r="H88" s="1"/>
      <c r="I88" s="1">
        <v>0</v>
      </c>
      <c r="J88" s="1">
        <v>0</v>
      </c>
      <c r="K88" s="1"/>
      <c r="L88" s="1">
        <v>0</v>
      </c>
    </row>
    <row r="89" spans="1:13" s="4" customFormat="1" x14ac:dyDescent="0.25">
      <c r="A89" s="1">
        <f t="shared" si="3"/>
        <v>14</v>
      </c>
      <c r="B89" s="6">
        <v>45014</v>
      </c>
      <c r="C89" s="39">
        <f t="shared" si="4"/>
        <v>0</v>
      </c>
      <c r="D89" s="1">
        <v>0</v>
      </c>
      <c r="E89" s="1">
        <v>0</v>
      </c>
      <c r="F89" s="1"/>
      <c r="G89" s="1">
        <v>0</v>
      </c>
      <c r="H89" s="1"/>
      <c r="I89" s="1">
        <v>0</v>
      </c>
      <c r="J89" s="1">
        <v>0</v>
      </c>
      <c r="K89" s="1"/>
      <c r="L89" s="1">
        <v>0</v>
      </c>
    </row>
    <row r="90" spans="1:13" s="4" customFormat="1" x14ac:dyDescent="0.25">
      <c r="A90" s="18"/>
      <c r="B90" s="6">
        <v>45015</v>
      </c>
      <c r="C90" s="39">
        <f t="shared" si="4"/>
        <v>0</v>
      </c>
      <c r="D90" s="1">
        <v>0</v>
      </c>
      <c r="E90" s="1">
        <v>0</v>
      </c>
      <c r="F90" s="1"/>
      <c r="G90" s="1">
        <v>0</v>
      </c>
      <c r="H90" s="1"/>
      <c r="I90" s="1">
        <v>0</v>
      </c>
      <c r="J90" s="1">
        <v>0</v>
      </c>
      <c r="K90" s="1"/>
      <c r="L90" s="1">
        <v>0</v>
      </c>
    </row>
    <row r="91" spans="1:13" s="14" customFormat="1" ht="15.75" thickBot="1" x14ac:dyDescent="0.3">
      <c r="A91" s="13">
        <f t="shared" si="3"/>
        <v>14</v>
      </c>
      <c r="B91" s="6">
        <v>45016</v>
      </c>
      <c r="C91" s="39">
        <f t="shared" si="4"/>
        <v>0</v>
      </c>
      <c r="D91" s="1">
        <v>0</v>
      </c>
      <c r="E91" s="1">
        <v>0</v>
      </c>
      <c r="F91" s="1"/>
      <c r="G91" s="1">
        <v>0</v>
      </c>
      <c r="H91" s="1"/>
      <c r="I91" s="1">
        <v>0</v>
      </c>
      <c r="J91" s="1">
        <v>0</v>
      </c>
      <c r="K91" s="1"/>
      <c r="L91" s="1">
        <v>0</v>
      </c>
      <c r="M91" s="14">
        <f>SUM(C63:C91)</f>
        <v>6.9350000000000005</v>
      </c>
    </row>
    <row r="92" spans="1:13" s="4" customFormat="1" ht="15.75" thickTop="1" x14ac:dyDescent="0.25">
      <c r="A92" s="1">
        <f t="shared" si="3"/>
        <v>14</v>
      </c>
      <c r="B92" s="6">
        <v>45017</v>
      </c>
      <c r="C92" s="39">
        <f t="shared" si="4"/>
        <v>0</v>
      </c>
      <c r="D92" s="1">
        <v>0</v>
      </c>
      <c r="E92" s="1">
        <v>0</v>
      </c>
      <c r="F92" s="1"/>
      <c r="G92" s="1">
        <v>0</v>
      </c>
      <c r="H92" s="1"/>
      <c r="I92" s="1">
        <v>0</v>
      </c>
      <c r="J92" s="1">
        <v>0</v>
      </c>
      <c r="K92" s="1"/>
      <c r="L92" s="1">
        <v>0</v>
      </c>
    </row>
    <row r="93" spans="1:13" s="4" customFormat="1" x14ac:dyDescent="0.25">
      <c r="A93" s="1">
        <f t="shared" si="3"/>
        <v>14</v>
      </c>
      <c r="B93" s="6">
        <v>45018</v>
      </c>
      <c r="C93" s="39">
        <f t="shared" si="4"/>
        <v>0</v>
      </c>
      <c r="D93" s="1">
        <v>0</v>
      </c>
      <c r="E93" s="1">
        <v>0</v>
      </c>
      <c r="F93" s="1"/>
      <c r="G93" s="1">
        <v>0</v>
      </c>
      <c r="H93" s="1"/>
      <c r="I93" s="1">
        <v>0</v>
      </c>
      <c r="J93" s="1">
        <v>0</v>
      </c>
      <c r="K93" s="1"/>
      <c r="L93" s="1">
        <v>0</v>
      </c>
    </row>
    <row r="94" spans="1:13" s="4" customFormat="1" x14ac:dyDescent="0.25">
      <c r="A94" s="1">
        <f t="shared" si="3"/>
        <v>15</v>
      </c>
      <c r="B94" s="6">
        <v>45019</v>
      </c>
      <c r="C94" s="39">
        <f t="shared" si="4"/>
        <v>0</v>
      </c>
      <c r="D94" s="1">
        <v>0</v>
      </c>
      <c r="E94" s="1">
        <v>0</v>
      </c>
      <c r="F94" s="1"/>
      <c r="G94" s="1">
        <v>0</v>
      </c>
      <c r="H94" s="1"/>
      <c r="I94" s="1">
        <v>0</v>
      </c>
      <c r="J94" s="1">
        <v>0</v>
      </c>
      <c r="K94" s="1"/>
      <c r="L94" s="1">
        <v>0</v>
      </c>
    </row>
    <row r="95" spans="1:13" s="4" customFormat="1" x14ac:dyDescent="0.25">
      <c r="A95" s="1">
        <f t="shared" si="3"/>
        <v>15</v>
      </c>
      <c r="B95" s="6">
        <v>45020</v>
      </c>
      <c r="C95" s="39">
        <f t="shared" si="4"/>
        <v>0</v>
      </c>
      <c r="D95" s="1">
        <v>0</v>
      </c>
      <c r="E95" s="1">
        <v>0</v>
      </c>
      <c r="F95" s="1"/>
      <c r="G95" s="1">
        <v>0</v>
      </c>
      <c r="H95" s="1"/>
      <c r="I95" s="1">
        <v>0</v>
      </c>
      <c r="J95" s="1">
        <v>0</v>
      </c>
      <c r="K95" s="1"/>
      <c r="L95" s="1">
        <v>0</v>
      </c>
    </row>
    <row r="96" spans="1:13" s="4" customFormat="1" x14ac:dyDescent="0.25">
      <c r="A96" s="1">
        <f t="shared" si="3"/>
        <v>15</v>
      </c>
      <c r="B96" s="6">
        <v>45021</v>
      </c>
      <c r="C96" s="39">
        <f t="shared" si="4"/>
        <v>46.88</v>
      </c>
      <c r="D96" s="1">
        <v>70</v>
      </c>
      <c r="E96" s="1">
        <v>26</v>
      </c>
      <c r="F96" s="1"/>
      <c r="G96" s="1">
        <v>55</v>
      </c>
      <c r="H96" s="1"/>
      <c r="I96" s="1">
        <v>37</v>
      </c>
      <c r="J96" s="1"/>
      <c r="K96" s="1"/>
      <c r="L96" s="1">
        <v>46.4</v>
      </c>
    </row>
    <row r="97" spans="1:12" s="4" customFormat="1" x14ac:dyDescent="0.25">
      <c r="A97" s="1">
        <f t="shared" si="3"/>
        <v>15</v>
      </c>
      <c r="B97" s="6">
        <v>45022</v>
      </c>
      <c r="C97" s="39">
        <f t="shared" si="4"/>
        <v>0</v>
      </c>
      <c r="D97" s="1">
        <v>0</v>
      </c>
      <c r="E97" s="1">
        <v>0</v>
      </c>
      <c r="F97" s="1"/>
      <c r="G97" s="1">
        <v>0</v>
      </c>
      <c r="H97" s="1"/>
      <c r="I97" s="1">
        <v>0</v>
      </c>
      <c r="J97" s="1">
        <v>0</v>
      </c>
      <c r="K97" s="1"/>
      <c r="L97" s="1">
        <v>0</v>
      </c>
    </row>
    <row r="98" spans="1:12" s="4" customFormat="1" x14ac:dyDescent="0.25">
      <c r="A98" s="1">
        <f t="shared" si="3"/>
        <v>15</v>
      </c>
      <c r="B98" s="6">
        <v>45023</v>
      </c>
      <c r="C98" s="39">
        <f t="shared" si="4"/>
        <v>0</v>
      </c>
      <c r="D98" s="1">
        <v>0</v>
      </c>
      <c r="E98" s="1">
        <v>0</v>
      </c>
      <c r="F98" s="1"/>
      <c r="G98" s="1">
        <v>0</v>
      </c>
      <c r="H98" s="1"/>
      <c r="I98" s="1">
        <v>0</v>
      </c>
      <c r="J98" s="1">
        <v>0</v>
      </c>
      <c r="K98" s="1"/>
      <c r="L98" s="1">
        <v>0</v>
      </c>
    </row>
    <row r="99" spans="1:12" s="4" customFormat="1" x14ac:dyDescent="0.25">
      <c r="A99" s="1">
        <f t="shared" si="3"/>
        <v>15</v>
      </c>
      <c r="B99" s="6">
        <v>45024</v>
      </c>
      <c r="C99" s="39">
        <f t="shared" si="4"/>
        <v>3.7916666666666665</v>
      </c>
      <c r="D99" s="1">
        <v>3.5</v>
      </c>
      <c r="E99" s="1">
        <v>4</v>
      </c>
      <c r="F99" s="1"/>
      <c r="G99" s="1">
        <v>5</v>
      </c>
      <c r="H99" s="1"/>
      <c r="I99" s="1">
        <v>4.75</v>
      </c>
      <c r="J99" s="1">
        <v>3.1</v>
      </c>
      <c r="K99" s="1"/>
      <c r="L99" s="1">
        <v>2.4</v>
      </c>
    </row>
    <row r="100" spans="1:12" s="4" customFormat="1" x14ac:dyDescent="0.25">
      <c r="A100" s="1">
        <f t="shared" si="3"/>
        <v>15</v>
      </c>
      <c r="B100" s="6">
        <v>45025</v>
      </c>
      <c r="C100" s="39">
        <f t="shared" si="4"/>
        <v>0</v>
      </c>
      <c r="D100" s="1">
        <v>0</v>
      </c>
      <c r="E100" s="1">
        <v>0</v>
      </c>
      <c r="F100" s="1"/>
      <c r="G100" s="1">
        <v>0</v>
      </c>
      <c r="H100" s="1"/>
      <c r="I100" s="1">
        <v>0</v>
      </c>
      <c r="J100" s="1">
        <v>0</v>
      </c>
      <c r="K100" s="1"/>
      <c r="L100" s="1">
        <v>0</v>
      </c>
    </row>
    <row r="101" spans="1:12" s="4" customFormat="1" x14ac:dyDescent="0.25">
      <c r="A101" s="1">
        <f t="shared" si="3"/>
        <v>16</v>
      </c>
      <c r="B101" s="6">
        <v>45026</v>
      </c>
      <c r="C101" s="39">
        <f t="shared" si="4"/>
        <v>0</v>
      </c>
      <c r="D101" s="1">
        <v>0</v>
      </c>
      <c r="E101" s="1">
        <v>0</v>
      </c>
      <c r="F101" s="1"/>
      <c r="G101" s="1">
        <v>0</v>
      </c>
      <c r="H101" s="1"/>
      <c r="I101" s="1">
        <v>0</v>
      </c>
      <c r="J101" s="1">
        <v>0</v>
      </c>
      <c r="K101" s="1"/>
      <c r="L101" s="1">
        <v>0</v>
      </c>
    </row>
    <row r="102" spans="1:12" s="4" customFormat="1" x14ac:dyDescent="0.25">
      <c r="A102" s="1">
        <f t="shared" si="3"/>
        <v>16</v>
      </c>
      <c r="B102" s="6">
        <v>45027</v>
      </c>
      <c r="C102" s="39">
        <f t="shared" si="4"/>
        <v>0</v>
      </c>
      <c r="D102" s="1">
        <v>0</v>
      </c>
      <c r="E102" s="1">
        <v>0</v>
      </c>
      <c r="F102" s="1"/>
      <c r="G102" s="1">
        <v>0</v>
      </c>
      <c r="H102" s="1"/>
      <c r="I102" s="1">
        <v>0</v>
      </c>
      <c r="J102" s="1">
        <v>0</v>
      </c>
      <c r="K102" s="1"/>
      <c r="L102" s="1">
        <v>0</v>
      </c>
    </row>
    <row r="103" spans="1:12" s="4" customFormat="1" x14ac:dyDescent="0.25">
      <c r="A103" s="1">
        <f t="shared" si="3"/>
        <v>16</v>
      </c>
      <c r="B103" s="6">
        <v>45028</v>
      </c>
      <c r="C103" s="39">
        <f t="shared" si="4"/>
        <v>0</v>
      </c>
      <c r="D103" s="1">
        <v>0</v>
      </c>
      <c r="E103" s="1">
        <v>0</v>
      </c>
      <c r="F103" s="1"/>
      <c r="G103" s="1">
        <v>0</v>
      </c>
      <c r="H103" s="1"/>
      <c r="I103" s="1">
        <v>0</v>
      </c>
      <c r="J103" s="1">
        <v>0</v>
      </c>
      <c r="K103" s="1"/>
      <c r="L103" s="1">
        <v>0</v>
      </c>
    </row>
    <row r="104" spans="1:12" s="4" customFormat="1" x14ac:dyDescent="0.25">
      <c r="A104" s="1">
        <f t="shared" si="3"/>
        <v>16</v>
      </c>
      <c r="B104" s="6">
        <v>45029</v>
      </c>
      <c r="C104" s="39">
        <f t="shared" si="4"/>
        <v>0</v>
      </c>
      <c r="D104" s="1">
        <v>0</v>
      </c>
      <c r="E104" s="1">
        <v>0</v>
      </c>
      <c r="F104" s="1"/>
      <c r="G104" s="1">
        <v>0</v>
      </c>
      <c r="H104" s="1"/>
      <c r="I104" s="1">
        <v>0</v>
      </c>
      <c r="J104" s="1">
        <v>0</v>
      </c>
      <c r="K104" s="1"/>
      <c r="L104" s="1">
        <v>0</v>
      </c>
    </row>
    <row r="105" spans="1:12" s="4" customFormat="1" x14ac:dyDescent="0.25">
      <c r="A105" s="1">
        <f t="shared" si="3"/>
        <v>16</v>
      </c>
      <c r="B105" s="6">
        <v>45030</v>
      </c>
      <c r="C105" s="39">
        <f t="shared" si="4"/>
        <v>0</v>
      </c>
      <c r="D105" s="1">
        <v>0</v>
      </c>
      <c r="E105" s="1">
        <v>0</v>
      </c>
      <c r="F105" s="1"/>
      <c r="G105" s="1">
        <v>0</v>
      </c>
      <c r="H105" s="1"/>
      <c r="I105" s="1">
        <v>0</v>
      </c>
      <c r="J105" s="1">
        <v>0</v>
      </c>
      <c r="K105" s="1"/>
      <c r="L105" s="1">
        <v>0</v>
      </c>
    </row>
    <row r="106" spans="1:12" s="4" customFormat="1" x14ac:dyDescent="0.25">
      <c r="A106" s="1">
        <f t="shared" si="3"/>
        <v>16</v>
      </c>
      <c r="B106" s="6">
        <v>45031</v>
      </c>
      <c r="C106" s="39">
        <f t="shared" si="4"/>
        <v>0</v>
      </c>
      <c r="D106" s="1">
        <v>0</v>
      </c>
      <c r="E106" s="1">
        <v>0</v>
      </c>
      <c r="F106" s="1"/>
      <c r="G106" s="1">
        <v>0</v>
      </c>
      <c r="H106" s="1"/>
      <c r="I106" s="1">
        <v>0</v>
      </c>
      <c r="J106" s="1">
        <v>0</v>
      </c>
      <c r="K106" s="1"/>
      <c r="L106" s="1">
        <v>0</v>
      </c>
    </row>
    <row r="107" spans="1:12" s="4" customFormat="1" x14ac:dyDescent="0.25">
      <c r="A107" s="1">
        <f t="shared" si="3"/>
        <v>16</v>
      </c>
      <c r="B107" s="6">
        <v>45032</v>
      </c>
      <c r="C107" s="39">
        <f t="shared" si="4"/>
        <v>0</v>
      </c>
      <c r="D107" s="1">
        <v>0</v>
      </c>
      <c r="E107" s="1">
        <v>0</v>
      </c>
      <c r="F107" s="1"/>
      <c r="G107" s="1">
        <v>0</v>
      </c>
      <c r="H107" s="1"/>
      <c r="I107" s="1">
        <v>0</v>
      </c>
      <c r="J107" s="1">
        <v>0</v>
      </c>
      <c r="K107" s="1"/>
      <c r="L107" s="1">
        <v>0</v>
      </c>
    </row>
    <row r="108" spans="1:12" s="4" customFormat="1" x14ac:dyDescent="0.25">
      <c r="A108" s="1">
        <f t="shared" si="3"/>
        <v>17</v>
      </c>
      <c r="B108" s="6">
        <v>45033</v>
      </c>
      <c r="C108" s="39">
        <f t="shared" si="4"/>
        <v>0</v>
      </c>
      <c r="D108" s="1">
        <v>0</v>
      </c>
      <c r="E108" s="1">
        <v>0</v>
      </c>
      <c r="F108" s="1"/>
      <c r="G108" s="1">
        <v>0</v>
      </c>
      <c r="H108" s="1"/>
      <c r="I108" s="1">
        <v>0</v>
      </c>
      <c r="J108" s="1">
        <v>0</v>
      </c>
      <c r="K108" s="1"/>
      <c r="L108" s="1">
        <v>0</v>
      </c>
    </row>
    <row r="109" spans="1:12" s="4" customFormat="1" x14ac:dyDescent="0.25">
      <c r="A109" s="1">
        <f t="shared" si="3"/>
        <v>17</v>
      </c>
      <c r="B109" s="6">
        <v>45034</v>
      </c>
      <c r="C109" s="39">
        <f t="shared" si="4"/>
        <v>0</v>
      </c>
      <c r="D109" s="1">
        <v>0</v>
      </c>
      <c r="E109" s="1">
        <v>0</v>
      </c>
      <c r="F109" s="1"/>
      <c r="G109" s="1">
        <v>0</v>
      </c>
      <c r="H109" s="1"/>
      <c r="I109" s="1">
        <v>0</v>
      </c>
      <c r="J109" s="1">
        <v>0</v>
      </c>
      <c r="K109" s="1"/>
      <c r="L109" s="1">
        <v>0</v>
      </c>
    </row>
    <row r="110" spans="1:12" s="4" customFormat="1" x14ac:dyDescent="0.25">
      <c r="A110" s="1">
        <f t="shared" si="3"/>
        <v>17</v>
      </c>
      <c r="B110" s="6">
        <v>45035</v>
      </c>
      <c r="C110" s="39">
        <f t="shared" si="4"/>
        <v>0</v>
      </c>
      <c r="D110" s="1">
        <v>0</v>
      </c>
      <c r="E110" s="1">
        <v>0</v>
      </c>
      <c r="F110" s="1"/>
      <c r="G110" s="1">
        <v>0</v>
      </c>
      <c r="H110" s="1"/>
      <c r="I110" s="1">
        <v>0</v>
      </c>
      <c r="J110" s="1">
        <v>0</v>
      </c>
      <c r="K110" s="1"/>
      <c r="L110" s="1">
        <v>0</v>
      </c>
    </row>
    <row r="111" spans="1:12" s="4" customFormat="1" x14ac:dyDescent="0.25">
      <c r="A111" s="1">
        <f t="shared" si="3"/>
        <v>17</v>
      </c>
      <c r="B111" s="6">
        <v>45036</v>
      </c>
      <c r="C111" s="39">
        <f t="shared" si="4"/>
        <v>0</v>
      </c>
      <c r="D111" s="1">
        <v>0</v>
      </c>
      <c r="E111" s="1">
        <v>0</v>
      </c>
      <c r="F111" s="1"/>
      <c r="G111" s="1">
        <v>0</v>
      </c>
      <c r="H111" s="1"/>
      <c r="I111" s="1">
        <v>0</v>
      </c>
      <c r="J111" s="1">
        <v>0</v>
      </c>
      <c r="K111" s="1"/>
      <c r="L111" s="1">
        <v>0</v>
      </c>
    </row>
    <row r="112" spans="1:12" s="4" customFormat="1" x14ac:dyDescent="0.25">
      <c r="A112" s="1">
        <f t="shared" si="3"/>
        <v>17</v>
      </c>
      <c r="B112" s="6">
        <v>45037</v>
      </c>
      <c r="C112" s="39">
        <f t="shared" si="4"/>
        <v>10.281666666666666</v>
      </c>
      <c r="D112" s="1">
        <v>8.5</v>
      </c>
      <c r="E112" s="1">
        <v>15</v>
      </c>
      <c r="F112" s="1"/>
      <c r="G112" s="1">
        <v>9</v>
      </c>
      <c r="H112" s="1"/>
      <c r="I112" s="1">
        <v>8</v>
      </c>
      <c r="J112" s="1">
        <v>7.39</v>
      </c>
      <c r="K112" s="1"/>
      <c r="L112" s="1">
        <v>13.8</v>
      </c>
    </row>
    <row r="113" spans="1:13" s="4" customFormat="1" x14ac:dyDescent="0.25">
      <c r="A113" s="1">
        <f t="shared" si="3"/>
        <v>17</v>
      </c>
      <c r="B113" s="6">
        <v>45038</v>
      </c>
      <c r="C113" s="39">
        <f t="shared" si="4"/>
        <v>0</v>
      </c>
      <c r="D113" s="1">
        <v>0</v>
      </c>
      <c r="E113" s="1">
        <v>0</v>
      </c>
      <c r="F113" s="1"/>
      <c r="G113" s="1">
        <v>0</v>
      </c>
      <c r="H113" s="1"/>
      <c r="I113" s="1">
        <v>0</v>
      </c>
      <c r="J113" s="1">
        <v>0</v>
      </c>
      <c r="K113" s="1"/>
      <c r="L113" s="1">
        <v>0</v>
      </c>
    </row>
    <row r="114" spans="1:13" s="4" customFormat="1" x14ac:dyDescent="0.25">
      <c r="A114" s="1">
        <f t="shared" si="3"/>
        <v>17</v>
      </c>
      <c r="B114" s="6">
        <v>45039</v>
      </c>
      <c r="C114" s="39">
        <f t="shared" si="4"/>
        <v>0</v>
      </c>
      <c r="D114" s="1">
        <v>0</v>
      </c>
      <c r="E114" s="1">
        <v>0</v>
      </c>
      <c r="F114" s="1"/>
      <c r="G114" s="1">
        <v>0</v>
      </c>
      <c r="H114" s="1"/>
      <c r="I114" s="1">
        <v>0</v>
      </c>
      <c r="J114" s="1">
        <v>0</v>
      </c>
      <c r="K114" s="1"/>
      <c r="L114" s="1">
        <v>0</v>
      </c>
    </row>
    <row r="115" spans="1:13" s="4" customFormat="1" x14ac:dyDescent="0.25">
      <c r="A115" s="1">
        <f t="shared" si="3"/>
        <v>18</v>
      </c>
      <c r="B115" s="6">
        <v>45040</v>
      </c>
      <c r="C115" s="39">
        <f t="shared" si="4"/>
        <v>0</v>
      </c>
      <c r="D115" s="1">
        <v>0</v>
      </c>
      <c r="E115" s="1">
        <v>0</v>
      </c>
      <c r="F115" s="1"/>
      <c r="G115" s="1">
        <v>0</v>
      </c>
      <c r="H115" s="1"/>
      <c r="I115" s="1">
        <v>0</v>
      </c>
      <c r="J115" s="1">
        <v>0</v>
      </c>
      <c r="K115" s="1"/>
      <c r="L115" s="1">
        <v>0</v>
      </c>
    </row>
    <row r="116" spans="1:13" s="4" customFormat="1" x14ac:dyDescent="0.25">
      <c r="A116" s="1">
        <f t="shared" si="3"/>
        <v>18</v>
      </c>
      <c r="B116" s="6">
        <v>45041</v>
      </c>
      <c r="C116" s="39">
        <f t="shared" si="4"/>
        <v>4.4349999999999996</v>
      </c>
      <c r="D116" s="1">
        <v>3</v>
      </c>
      <c r="E116" s="1">
        <v>5</v>
      </c>
      <c r="F116" s="1"/>
      <c r="G116" s="1">
        <v>5</v>
      </c>
      <c r="H116" s="1"/>
      <c r="I116" s="1">
        <v>5.5</v>
      </c>
      <c r="J116" s="1">
        <v>5.31</v>
      </c>
      <c r="K116" s="1"/>
      <c r="L116" s="1">
        <v>2.8</v>
      </c>
    </row>
    <row r="117" spans="1:13" s="4" customFormat="1" x14ac:dyDescent="0.25">
      <c r="A117" s="1">
        <f t="shared" si="3"/>
        <v>18</v>
      </c>
      <c r="B117" s="6">
        <v>45042</v>
      </c>
      <c r="C117" s="39">
        <f t="shared" si="4"/>
        <v>0</v>
      </c>
      <c r="D117" s="1">
        <v>0</v>
      </c>
      <c r="E117" s="1">
        <v>0</v>
      </c>
      <c r="F117" s="1"/>
      <c r="G117" s="1">
        <v>0</v>
      </c>
      <c r="H117" s="1"/>
      <c r="I117" s="1">
        <v>0</v>
      </c>
      <c r="J117" s="1">
        <v>0</v>
      </c>
      <c r="K117" s="1"/>
      <c r="L117" s="1">
        <v>0</v>
      </c>
    </row>
    <row r="118" spans="1:13" s="4" customFormat="1" x14ac:dyDescent="0.25">
      <c r="A118" s="1">
        <f t="shared" si="3"/>
        <v>18</v>
      </c>
      <c r="B118" s="6">
        <v>45043</v>
      </c>
      <c r="C118" s="39">
        <f t="shared" si="4"/>
        <v>0</v>
      </c>
      <c r="D118" s="1">
        <v>0</v>
      </c>
      <c r="E118" s="1">
        <v>0</v>
      </c>
      <c r="F118" s="1"/>
      <c r="G118" s="1">
        <v>0</v>
      </c>
      <c r="H118" s="1"/>
      <c r="I118" s="1">
        <v>0</v>
      </c>
      <c r="J118" s="1">
        <v>0</v>
      </c>
      <c r="K118" s="1"/>
      <c r="L118" s="1">
        <v>0</v>
      </c>
    </row>
    <row r="119" spans="1:13" s="4" customFormat="1" x14ac:dyDescent="0.25">
      <c r="A119" s="1"/>
      <c r="B119" s="6">
        <v>45044</v>
      </c>
      <c r="C119" s="39">
        <f t="shared" si="4"/>
        <v>0</v>
      </c>
      <c r="D119" s="1">
        <v>0</v>
      </c>
      <c r="E119" s="1">
        <v>0</v>
      </c>
      <c r="F119" s="1"/>
      <c r="G119" s="1">
        <v>0</v>
      </c>
      <c r="H119" s="1"/>
      <c r="I119" s="1">
        <v>0</v>
      </c>
      <c r="J119" s="1">
        <v>0</v>
      </c>
      <c r="K119" s="1"/>
      <c r="L119" s="1">
        <v>0</v>
      </c>
    </row>
    <row r="120" spans="1:13" s="4" customFormat="1" x14ac:dyDescent="0.25">
      <c r="A120" s="1">
        <f t="shared" si="3"/>
        <v>18</v>
      </c>
      <c r="B120" s="6">
        <v>45045</v>
      </c>
      <c r="C120" s="39">
        <f t="shared" si="4"/>
        <v>2.7833333333333332</v>
      </c>
      <c r="D120" s="1">
        <v>2.5</v>
      </c>
      <c r="E120" s="1">
        <v>1.6</v>
      </c>
      <c r="F120" s="1"/>
      <c r="G120" s="1">
        <v>5.4</v>
      </c>
      <c r="H120" s="1"/>
      <c r="I120" s="1">
        <v>1.8</v>
      </c>
      <c r="J120" s="1">
        <v>4</v>
      </c>
      <c r="K120" s="1"/>
      <c r="L120" s="1">
        <v>1.4</v>
      </c>
    </row>
    <row r="121" spans="1:13" s="14" customFormat="1" ht="15.75" thickBot="1" x14ac:dyDescent="0.3">
      <c r="A121" s="13">
        <f t="shared" si="3"/>
        <v>18</v>
      </c>
      <c r="B121" s="6">
        <v>45046</v>
      </c>
      <c r="C121" s="39">
        <f t="shared" si="4"/>
        <v>0</v>
      </c>
      <c r="D121" s="41">
        <v>0</v>
      </c>
      <c r="E121" s="41">
        <v>0</v>
      </c>
      <c r="F121" s="41"/>
      <c r="G121" s="41">
        <v>0</v>
      </c>
      <c r="H121" s="41"/>
      <c r="I121" s="41">
        <v>0</v>
      </c>
      <c r="J121" s="41">
        <v>0</v>
      </c>
      <c r="K121" s="41"/>
      <c r="L121" s="41">
        <v>0</v>
      </c>
      <c r="M121" s="20">
        <f>SUM(C92:C121)</f>
        <v>68.171666666666667</v>
      </c>
    </row>
    <row r="122" spans="1:13" s="4" customFormat="1" ht="15.75" thickTop="1" x14ac:dyDescent="0.25">
      <c r="A122" s="1">
        <f t="shared" si="3"/>
        <v>19</v>
      </c>
      <c r="B122" s="6">
        <v>45047</v>
      </c>
      <c r="C122" s="39">
        <f t="shared" si="4"/>
        <v>0</v>
      </c>
      <c r="D122" s="1">
        <v>0</v>
      </c>
      <c r="E122" s="1">
        <v>0</v>
      </c>
      <c r="F122" s="1"/>
      <c r="G122" s="1">
        <v>0</v>
      </c>
      <c r="H122" s="1"/>
      <c r="I122" s="1">
        <v>0</v>
      </c>
      <c r="J122" s="1">
        <v>0</v>
      </c>
      <c r="K122" s="1"/>
      <c r="L122" s="1"/>
    </row>
    <row r="123" spans="1:13" s="4" customFormat="1" x14ac:dyDescent="0.25">
      <c r="A123" s="1">
        <f t="shared" si="3"/>
        <v>19</v>
      </c>
      <c r="B123" s="6">
        <v>45048</v>
      </c>
      <c r="C123" s="39">
        <f t="shared" si="4"/>
        <v>0</v>
      </c>
      <c r="D123" s="1">
        <v>0</v>
      </c>
      <c r="E123" s="1">
        <v>0</v>
      </c>
      <c r="F123" s="1"/>
      <c r="G123" s="1">
        <v>0</v>
      </c>
      <c r="H123" s="1"/>
      <c r="I123" s="1">
        <v>0</v>
      </c>
      <c r="J123" s="1">
        <v>0</v>
      </c>
      <c r="K123" s="1"/>
      <c r="L123" s="1">
        <v>0</v>
      </c>
    </row>
    <row r="124" spans="1:13" s="4" customFormat="1" x14ac:dyDescent="0.25">
      <c r="A124" s="1">
        <f t="shared" si="3"/>
        <v>19</v>
      </c>
      <c r="B124" s="6">
        <v>45049</v>
      </c>
      <c r="C124" s="39">
        <f t="shared" si="4"/>
        <v>11.385</v>
      </c>
      <c r="D124" s="1">
        <v>11</v>
      </c>
      <c r="E124" s="1">
        <v>10</v>
      </c>
      <c r="F124" s="1"/>
      <c r="G124" s="1">
        <v>13</v>
      </c>
      <c r="H124" s="1"/>
      <c r="I124" s="1">
        <v>14</v>
      </c>
      <c r="J124" s="1">
        <v>11.71</v>
      </c>
      <c r="K124" s="1"/>
      <c r="L124" s="1">
        <v>8.6</v>
      </c>
    </row>
    <row r="125" spans="1:13" s="4" customFormat="1" x14ac:dyDescent="0.25">
      <c r="A125" s="1">
        <f t="shared" si="3"/>
        <v>19</v>
      </c>
      <c r="B125" s="6">
        <v>45050</v>
      </c>
      <c r="C125" s="39">
        <f t="shared" si="4"/>
        <v>13.381666666666668</v>
      </c>
      <c r="D125" s="1">
        <v>7.5</v>
      </c>
      <c r="E125" s="1">
        <v>27</v>
      </c>
      <c r="F125" s="1"/>
      <c r="G125" s="1">
        <v>8</v>
      </c>
      <c r="H125" s="1"/>
      <c r="I125" s="1">
        <v>17</v>
      </c>
      <c r="J125" s="1">
        <v>7.39</v>
      </c>
      <c r="K125" s="1"/>
      <c r="L125" s="1">
        <v>13.4</v>
      </c>
    </row>
    <row r="126" spans="1:13" s="4" customFormat="1" x14ac:dyDescent="0.25">
      <c r="A126" s="1">
        <f t="shared" si="3"/>
        <v>19</v>
      </c>
      <c r="B126" s="6">
        <v>45051</v>
      </c>
      <c r="C126" s="39">
        <f t="shared" si="4"/>
        <v>1.4833333333333334</v>
      </c>
      <c r="D126" s="1">
        <v>1.5</v>
      </c>
      <c r="E126" s="1">
        <v>1</v>
      </c>
      <c r="F126" s="1"/>
      <c r="G126" s="1">
        <v>1.8</v>
      </c>
      <c r="H126" s="1"/>
      <c r="I126" s="1">
        <v>1.2</v>
      </c>
      <c r="J126" s="1">
        <v>2</v>
      </c>
      <c r="K126" s="1"/>
      <c r="L126" s="1">
        <v>1.4</v>
      </c>
    </row>
    <row r="127" spans="1:13" s="4" customFormat="1" x14ac:dyDescent="0.25">
      <c r="A127" s="1">
        <f t="shared" si="3"/>
        <v>19</v>
      </c>
      <c r="B127" s="6">
        <v>45052</v>
      </c>
      <c r="C127" s="39">
        <f t="shared" si="4"/>
        <v>0</v>
      </c>
      <c r="D127" s="1">
        <v>0</v>
      </c>
      <c r="E127" s="1">
        <v>0</v>
      </c>
      <c r="F127" s="1"/>
      <c r="G127" s="1">
        <v>0</v>
      </c>
      <c r="H127" s="1"/>
      <c r="I127" s="1">
        <v>0</v>
      </c>
      <c r="J127" s="1">
        <v>0</v>
      </c>
      <c r="K127" s="1"/>
      <c r="L127" s="1">
        <v>0</v>
      </c>
    </row>
    <row r="128" spans="1:13" s="4" customFormat="1" x14ac:dyDescent="0.25">
      <c r="A128" s="1">
        <f t="shared" si="3"/>
        <v>19</v>
      </c>
      <c r="B128" s="6">
        <v>45053</v>
      </c>
      <c r="C128" s="39">
        <f t="shared" si="4"/>
        <v>4.6499999999999995</v>
      </c>
      <c r="D128" s="1">
        <v>5.9</v>
      </c>
      <c r="E128" s="1">
        <v>6</v>
      </c>
      <c r="F128" s="1"/>
      <c r="G128" s="1">
        <v>5.5</v>
      </c>
      <c r="H128" s="1"/>
      <c r="I128" s="1">
        <v>3</v>
      </c>
      <c r="J128" s="1">
        <v>3.1</v>
      </c>
      <c r="K128" s="1"/>
      <c r="L128" s="1">
        <v>4.4000000000000004</v>
      </c>
    </row>
    <row r="129" spans="1:12" s="4" customFormat="1" x14ac:dyDescent="0.25">
      <c r="A129" s="1">
        <f t="shared" si="3"/>
        <v>20</v>
      </c>
      <c r="B129" s="6">
        <v>45054</v>
      </c>
      <c r="C129" s="39">
        <f t="shared" si="4"/>
        <v>0</v>
      </c>
      <c r="D129" s="1">
        <v>0</v>
      </c>
      <c r="E129" s="1">
        <v>0</v>
      </c>
      <c r="F129" s="1"/>
      <c r="G129" s="1">
        <v>0</v>
      </c>
      <c r="H129" s="1"/>
      <c r="I129" s="1">
        <v>0</v>
      </c>
      <c r="J129" s="1">
        <v>0</v>
      </c>
      <c r="K129" s="1"/>
      <c r="L129" s="1">
        <v>0</v>
      </c>
    </row>
    <row r="130" spans="1:12" s="4" customFormat="1" x14ac:dyDescent="0.25">
      <c r="A130" s="1">
        <f t="shared" si="3"/>
        <v>20</v>
      </c>
      <c r="B130" s="6">
        <v>45055</v>
      </c>
      <c r="C130" s="39">
        <f t="shared" si="4"/>
        <v>0</v>
      </c>
      <c r="D130" s="1">
        <v>0</v>
      </c>
      <c r="E130" s="1">
        <v>0</v>
      </c>
      <c r="F130" s="1"/>
      <c r="G130" s="1">
        <v>0</v>
      </c>
      <c r="H130" s="1"/>
      <c r="I130" s="1">
        <v>0</v>
      </c>
      <c r="J130" s="1">
        <v>0</v>
      </c>
      <c r="K130" s="1"/>
      <c r="L130" s="1">
        <v>0</v>
      </c>
    </row>
    <row r="131" spans="1:12" s="4" customFormat="1" x14ac:dyDescent="0.25">
      <c r="A131" s="1">
        <f t="shared" ref="A131:A194" si="5">WEEKNUM($B131,2)</f>
        <v>20</v>
      </c>
      <c r="B131" s="6">
        <v>45056</v>
      </c>
      <c r="C131" s="39">
        <f t="shared" ref="C131:C162" si="6">AVERAGE(D131:L131)</f>
        <v>0</v>
      </c>
      <c r="D131" s="1">
        <v>0</v>
      </c>
      <c r="E131" s="1">
        <v>0</v>
      </c>
      <c r="F131" s="1"/>
      <c r="G131" s="1">
        <v>0</v>
      </c>
      <c r="H131" s="1"/>
      <c r="I131" s="1">
        <v>0</v>
      </c>
      <c r="J131" s="1">
        <v>0</v>
      </c>
      <c r="K131" s="1"/>
      <c r="L131" s="1">
        <v>0</v>
      </c>
    </row>
    <row r="132" spans="1:12" s="4" customFormat="1" x14ac:dyDescent="0.25">
      <c r="A132" s="1">
        <f t="shared" si="5"/>
        <v>20</v>
      </c>
      <c r="B132" s="6">
        <v>45057</v>
      </c>
      <c r="C132" s="39">
        <f t="shared" si="6"/>
        <v>0</v>
      </c>
      <c r="D132" s="1">
        <v>0</v>
      </c>
      <c r="E132" s="1">
        <v>0</v>
      </c>
      <c r="F132" s="1"/>
      <c r="G132" s="1">
        <v>0</v>
      </c>
      <c r="H132" s="1"/>
      <c r="I132" s="1">
        <v>0</v>
      </c>
      <c r="J132" s="1">
        <v>0</v>
      </c>
      <c r="K132" s="1"/>
      <c r="L132" s="1">
        <v>0</v>
      </c>
    </row>
    <row r="133" spans="1:12" s="4" customFormat="1" x14ac:dyDescent="0.25">
      <c r="A133" s="1">
        <f t="shared" si="5"/>
        <v>20</v>
      </c>
      <c r="B133" s="6">
        <v>45058</v>
      </c>
      <c r="C133" s="39">
        <f t="shared" si="6"/>
        <v>1.2857142857142858</v>
      </c>
      <c r="D133" s="1">
        <v>0</v>
      </c>
      <c r="E133" s="1">
        <v>0</v>
      </c>
      <c r="F133" s="1"/>
      <c r="G133" s="1">
        <v>0</v>
      </c>
      <c r="H133" s="1"/>
      <c r="I133" s="1">
        <v>0</v>
      </c>
      <c r="J133" s="1">
        <v>0</v>
      </c>
      <c r="K133" s="1">
        <v>9</v>
      </c>
      <c r="L133" s="1">
        <v>0</v>
      </c>
    </row>
    <row r="134" spans="1:12" s="4" customFormat="1" x14ac:dyDescent="0.25">
      <c r="A134" s="1">
        <f t="shared" si="5"/>
        <v>20</v>
      </c>
      <c r="B134" s="6">
        <v>45059</v>
      </c>
      <c r="C134" s="39">
        <f t="shared" si="6"/>
        <v>0</v>
      </c>
      <c r="D134" s="1">
        <v>0</v>
      </c>
      <c r="E134" s="1">
        <v>0</v>
      </c>
      <c r="F134" s="1"/>
      <c r="G134" s="1">
        <v>0</v>
      </c>
      <c r="H134" s="1"/>
      <c r="I134" s="1">
        <v>0</v>
      </c>
      <c r="J134" s="1">
        <v>0</v>
      </c>
      <c r="K134" s="1">
        <v>0</v>
      </c>
      <c r="L134" s="1">
        <v>0</v>
      </c>
    </row>
    <row r="135" spans="1:12" s="4" customFormat="1" x14ac:dyDescent="0.25">
      <c r="A135" s="1">
        <f t="shared" si="5"/>
        <v>20</v>
      </c>
      <c r="B135" s="6">
        <v>45060</v>
      </c>
      <c r="C135" s="39">
        <f t="shared" si="6"/>
        <v>0</v>
      </c>
      <c r="D135" s="1">
        <v>0</v>
      </c>
      <c r="E135" s="1">
        <v>0</v>
      </c>
      <c r="F135" s="1"/>
      <c r="G135" s="1">
        <v>0</v>
      </c>
      <c r="H135" s="1"/>
      <c r="I135" s="1">
        <v>0</v>
      </c>
      <c r="J135" s="1">
        <v>0</v>
      </c>
      <c r="K135" s="1">
        <v>0</v>
      </c>
      <c r="L135" s="1">
        <v>0</v>
      </c>
    </row>
    <row r="136" spans="1:12" s="4" customFormat="1" x14ac:dyDescent="0.25">
      <c r="A136" s="1">
        <f t="shared" si="5"/>
        <v>21</v>
      </c>
      <c r="B136" s="6">
        <v>45061</v>
      </c>
      <c r="C136" s="39">
        <f t="shared" si="6"/>
        <v>0</v>
      </c>
      <c r="D136" s="1">
        <v>0</v>
      </c>
      <c r="E136" s="1">
        <v>0</v>
      </c>
      <c r="F136" s="1"/>
      <c r="G136" s="1">
        <v>0</v>
      </c>
      <c r="H136" s="1"/>
      <c r="I136" s="1">
        <v>0</v>
      </c>
      <c r="J136" s="1">
        <v>0</v>
      </c>
      <c r="K136" s="1">
        <v>0</v>
      </c>
      <c r="L136" s="1">
        <v>0</v>
      </c>
    </row>
    <row r="137" spans="1:12" s="4" customFormat="1" x14ac:dyDescent="0.25">
      <c r="A137" s="1">
        <f t="shared" si="5"/>
        <v>21</v>
      </c>
      <c r="B137" s="6">
        <v>45062</v>
      </c>
      <c r="C137" s="39">
        <f t="shared" si="6"/>
        <v>0</v>
      </c>
      <c r="D137" s="1">
        <v>0</v>
      </c>
      <c r="E137" s="1">
        <v>0</v>
      </c>
      <c r="F137" s="1"/>
      <c r="G137" s="1">
        <v>0</v>
      </c>
      <c r="H137" s="1"/>
      <c r="I137" s="1">
        <v>0</v>
      </c>
      <c r="J137" s="1">
        <v>0</v>
      </c>
      <c r="K137" s="1">
        <v>0</v>
      </c>
      <c r="L137" s="1">
        <v>0</v>
      </c>
    </row>
    <row r="138" spans="1:12" s="4" customFormat="1" x14ac:dyDescent="0.25">
      <c r="A138" s="1">
        <f t="shared" si="5"/>
        <v>21</v>
      </c>
      <c r="B138" s="6">
        <v>45063</v>
      </c>
      <c r="C138" s="39">
        <f t="shared" si="6"/>
        <v>5.1714285714285717</v>
      </c>
      <c r="D138" s="1">
        <v>3.5</v>
      </c>
      <c r="E138" s="1">
        <v>7</v>
      </c>
      <c r="F138" s="1"/>
      <c r="G138" s="1">
        <v>7.5</v>
      </c>
      <c r="H138" s="1"/>
      <c r="I138" s="1">
        <v>5.6</v>
      </c>
      <c r="J138" s="1">
        <v>3.3</v>
      </c>
      <c r="K138" s="1">
        <v>1.3</v>
      </c>
      <c r="L138" s="1">
        <v>8</v>
      </c>
    </row>
    <row r="139" spans="1:12" s="4" customFormat="1" x14ac:dyDescent="0.25">
      <c r="A139" s="1">
        <f t="shared" si="5"/>
        <v>21</v>
      </c>
      <c r="B139" s="6">
        <v>45064</v>
      </c>
      <c r="C139" s="39">
        <f t="shared" si="6"/>
        <v>2.7985714285714289</v>
      </c>
      <c r="D139" s="1">
        <v>2.5</v>
      </c>
      <c r="E139" s="1">
        <v>6.4</v>
      </c>
      <c r="F139" s="1"/>
      <c r="G139" s="1">
        <v>2.5</v>
      </c>
      <c r="H139" s="1"/>
      <c r="I139" s="1">
        <v>2.5</v>
      </c>
      <c r="J139" s="1">
        <v>2.59</v>
      </c>
      <c r="K139" s="1">
        <v>1.3</v>
      </c>
      <c r="L139" s="1">
        <v>1.8</v>
      </c>
    </row>
    <row r="140" spans="1:12" s="4" customFormat="1" x14ac:dyDescent="0.25">
      <c r="A140" s="1">
        <f t="shared" si="5"/>
        <v>21</v>
      </c>
      <c r="B140" s="6">
        <v>45065</v>
      </c>
      <c r="C140" s="39">
        <f t="shared" si="6"/>
        <v>0</v>
      </c>
      <c r="D140" s="1">
        <v>0</v>
      </c>
      <c r="E140" s="1">
        <v>0</v>
      </c>
      <c r="F140" s="1"/>
      <c r="G140" s="1">
        <v>0</v>
      </c>
      <c r="H140" s="1"/>
      <c r="I140" s="1">
        <v>0</v>
      </c>
      <c r="J140" s="1">
        <v>0</v>
      </c>
      <c r="K140" s="1">
        <v>0</v>
      </c>
      <c r="L140" s="1">
        <v>0</v>
      </c>
    </row>
    <row r="141" spans="1:12" s="4" customFormat="1" x14ac:dyDescent="0.25">
      <c r="A141" s="1">
        <f t="shared" si="5"/>
        <v>21</v>
      </c>
      <c r="B141" s="6">
        <v>45066</v>
      </c>
      <c r="C141" s="39">
        <f t="shared" si="6"/>
        <v>0</v>
      </c>
      <c r="D141" s="1">
        <v>0</v>
      </c>
      <c r="E141" s="1">
        <v>0</v>
      </c>
      <c r="F141" s="1"/>
      <c r="G141" s="1">
        <v>0</v>
      </c>
      <c r="H141" s="1"/>
      <c r="I141" s="1">
        <v>0</v>
      </c>
      <c r="J141" s="1">
        <v>0</v>
      </c>
      <c r="K141" s="1">
        <v>0</v>
      </c>
      <c r="L141" s="1">
        <v>0</v>
      </c>
    </row>
    <row r="142" spans="1:12" s="4" customFormat="1" x14ac:dyDescent="0.25">
      <c r="A142" s="1">
        <f t="shared" si="5"/>
        <v>21</v>
      </c>
      <c r="B142" s="6">
        <v>45067</v>
      </c>
      <c r="C142" s="39">
        <f t="shared" si="6"/>
        <v>4.4142857142857137</v>
      </c>
      <c r="D142" s="1">
        <v>3.5</v>
      </c>
      <c r="E142" s="1">
        <v>6.5</v>
      </c>
      <c r="F142" s="1"/>
      <c r="G142" s="1">
        <v>4</v>
      </c>
      <c r="H142" s="1"/>
      <c r="I142" s="1">
        <v>5</v>
      </c>
      <c r="J142" s="1">
        <v>4.8</v>
      </c>
      <c r="K142" s="1">
        <v>2.5</v>
      </c>
      <c r="L142" s="1">
        <v>4.5999999999999996</v>
      </c>
    </row>
    <row r="143" spans="1:12" s="4" customFormat="1" x14ac:dyDescent="0.25">
      <c r="A143" s="1">
        <f t="shared" si="5"/>
        <v>22</v>
      </c>
      <c r="B143" s="6">
        <v>45068</v>
      </c>
      <c r="C143" s="39">
        <f t="shared" si="6"/>
        <v>14.35</v>
      </c>
      <c r="D143" s="1" t="s">
        <v>34</v>
      </c>
      <c r="E143" s="1">
        <v>11.5</v>
      </c>
      <c r="F143" s="1"/>
      <c r="G143" s="1">
        <v>26</v>
      </c>
      <c r="H143" s="1"/>
      <c r="I143" s="1">
        <v>14</v>
      </c>
      <c r="J143" s="1">
        <v>18.8</v>
      </c>
      <c r="K143" s="1">
        <v>0.8</v>
      </c>
      <c r="L143" s="1">
        <v>15</v>
      </c>
    </row>
    <row r="144" spans="1:12" s="4" customFormat="1" x14ac:dyDescent="0.25">
      <c r="A144" s="1">
        <f t="shared" si="5"/>
        <v>22</v>
      </c>
      <c r="B144" s="6">
        <v>45069</v>
      </c>
      <c r="C144" s="39">
        <f t="shared" si="6"/>
        <v>0</v>
      </c>
      <c r="D144" s="1">
        <v>0</v>
      </c>
      <c r="E144" s="1">
        <v>0</v>
      </c>
      <c r="F144" s="1"/>
      <c r="G144" s="1">
        <v>0</v>
      </c>
      <c r="H144" s="1"/>
      <c r="I144" s="1">
        <v>0</v>
      </c>
      <c r="J144" s="1">
        <v>0</v>
      </c>
      <c r="K144" s="1">
        <v>0</v>
      </c>
      <c r="L144" s="1">
        <v>0</v>
      </c>
    </row>
    <row r="145" spans="1:13" s="4" customFormat="1" x14ac:dyDescent="0.25">
      <c r="A145" s="1">
        <f t="shared" si="5"/>
        <v>22</v>
      </c>
      <c r="B145" s="6">
        <v>45070</v>
      </c>
      <c r="C145" s="39">
        <f t="shared" si="6"/>
        <v>9.6728571428571417</v>
      </c>
      <c r="D145" s="1">
        <v>6.5</v>
      </c>
      <c r="E145" s="1">
        <v>11</v>
      </c>
      <c r="F145" s="1"/>
      <c r="G145" s="1">
        <v>9.5</v>
      </c>
      <c r="H145" s="1"/>
      <c r="I145" s="1">
        <v>7.5</v>
      </c>
      <c r="J145" s="1">
        <v>8.41</v>
      </c>
      <c r="K145" s="1">
        <v>8</v>
      </c>
      <c r="L145" s="1">
        <v>16.8</v>
      </c>
    </row>
    <row r="146" spans="1:13" s="4" customFormat="1" x14ac:dyDescent="0.25">
      <c r="A146" s="1">
        <f t="shared" si="5"/>
        <v>22</v>
      </c>
      <c r="B146" s="6">
        <v>45071</v>
      </c>
      <c r="C146" s="39">
        <f t="shared" si="6"/>
        <v>0</v>
      </c>
      <c r="D146" s="1"/>
      <c r="E146" s="1"/>
      <c r="F146" s="1"/>
      <c r="G146" s="1"/>
      <c r="H146" s="1"/>
      <c r="I146" s="1"/>
      <c r="J146" s="1"/>
      <c r="K146" s="1"/>
      <c r="L146" s="1">
        <v>0</v>
      </c>
    </row>
    <row r="147" spans="1:13" s="4" customFormat="1" x14ac:dyDescent="0.25">
      <c r="A147" s="1">
        <f t="shared" si="5"/>
        <v>22</v>
      </c>
      <c r="B147" s="6">
        <v>45072</v>
      </c>
      <c r="C147" s="39">
        <f t="shared" si="6"/>
        <v>0</v>
      </c>
      <c r="D147" s="1"/>
      <c r="E147" s="1"/>
      <c r="F147" s="1"/>
      <c r="G147" s="1"/>
      <c r="H147" s="1"/>
      <c r="I147" s="1"/>
      <c r="J147" s="1"/>
      <c r="K147" s="1"/>
      <c r="L147" s="1">
        <v>0</v>
      </c>
    </row>
    <row r="148" spans="1:13" s="4" customFormat="1" x14ac:dyDescent="0.25">
      <c r="A148" s="1">
        <f t="shared" si="5"/>
        <v>22</v>
      </c>
      <c r="B148" s="6">
        <v>45073</v>
      </c>
      <c r="C148" s="39">
        <f t="shared" si="6"/>
        <v>0</v>
      </c>
      <c r="D148" s="1"/>
      <c r="E148" s="1"/>
      <c r="F148" s="1"/>
      <c r="G148" s="1"/>
      <c r="H148" s="1"/>
      <c r="I148" s="1"/>
      <c r="J148" s="1"/>
      <c r="K148" s="1"/>
      <c r="L148" s="1">
        <v>0</v>
      </c>
    </row>
    <row r="149" spans="1:13" s="4" customFormat="1" x14ac:dyDescent="0.25">
      <c r="A149" s="1">
        <f t="shared" si="5"/>
        <v>22</v>
      </c>
      <c r="B149" s="6">
        <v>45074</v>
      </c>
      <c r="C149" s="39">
        <f t="shared" si="6"/>
        <v>0</v>
      </c>
      <c r="D149" s="1"/>
      <c r="E149" s="1"/>
      <c r="F149" s="1"/>
      <c r="G149" s="1"/>
      <c r="H149" s="1"/>
      <c r="I149" s="1"/>
      <c r="J149" s="1"/>
      <c r="K149" s="1"/>
      <c r="L149" s="1">
        <v>0</v>
      </c>
    </row>
    <row r="150" spans="1:13" s="4" customFormat="1" x14ac:dyDescent="0.25">
      <c r="A150" s="1">
        <f t="shared" si="5"/>
        <v>23</v>
      </c>
      <c r="B150" s="6">
        <v>45075</v>
      </c>
      <c r="C150" s="39">
        <f t="shared" si="6"/>
        <v>0</v>
      </c>
      <c r="D150" s="1"/>
      <c r="E150" s="1"/>
      <c r="F150" s="1"/>
      <c r="G150" s="1"/>
      <c r="H150" s="1"/>
      <c r="I150" s="1"/>
      <c r="J150" s="1"/>
      <c r="K150" s="1"/>
      <c r="L150" s="1">
        <v>0</v>
      </c>
    </row>
    <row r="151" spans="1:13" s="4" customFormat="1" x14ac:dyDescent="0.25">
      <c r="A151" s="1"/>
      <c r="B151" s="6">
        <v>45076</v>
      </c>
      <c r="C151" s="39">
        <f t="shared" si="6"/>
        <v>0</v>
      </c>
      <c r="D151" s="1"/>
      <c r="E151" s="1"/>
      <c r="F151" s="1"/>
      <c r="G151" s="1"/>
      <c r="H151" s="1"/>
      <c r="I151" s="1"/>
      <c r="J151" s="1"/>
      <c r="K151" s="1"/>
      <c r="L151" s="1">
        <v>0</v>
      </c>
    </row>
    <row r="152" spans="1:13" s="4" customFormat="1" x14ac:dyDescent="0.25">
      <c r="A152" s="1">
        <f t="shared" si="5"/>
        <v>23</v>
      </c>
      <c r="B152" s="6">
        <v>45077</v>
      </c>
      <c r="C152" s="39">
        <f t="shared" si="6"/>
        <v>0</v>
      </c>
      <c r="D152" s="1"/>
      <c r="E152" s="1"/>
      <c r="F152" s="1"/>
      <c r="G152" s="1"/>
      <c r="H152" s="1"/>
      <c r="I152" s="1"/>
      <c r="J152" s="1"/>
      <c r="K152" s="1"/>
      <c r="L152" s="1">
        <v>0</v>
      </c>
      <c r="M152" s="21">
        <f>SUM(C122:C152)</f>
        <v>68.592857142857142</v>
      </c>
    </row>
    <row r="153" spans="1:13" s="4" customFormat="1" x14ac:dyDescent="0.25">
      <c r="A153" s="1">
        <f t="shared" si="5"/>
        <v>23</v>
      </c>
      <c r="B153" s="6">
        <v>45078</v>
      </c>
      <c r="C153" s="39">
        <f t="shared" si="6"/>
        <v>0</v>
      </c>
      <c r="D153" s="1">
        <v>0</v>
      </c>
      <c r="E153" s="1">
        <v>0</v>
      </c>
      <c r="F153" s="1"/>
      <c r="G153" s="1">
        <v>0</v>
      </c>
      <c r="H153" s="1"/>
      <c r="I153" s="1">
        <v>0</v>
      </c>
      <c r="J153" s="1">
        <v>0</v>
      </c>
      <c r="K153" s="1">
        <v>0</v>
      </c>
      <c r="L153" s="1">
        <v>0</v>
      </c>
    </row>
    <row r="154" spans="1:13" s="4" customFormat="1" x14ac:dyDescent="0.25">
      <c r="A154" s="1">
        <f t="shared" si="5"/>
        <v>23</v>
      </c>
      <c r="B154" s="6">
        <v>45079</v>
      </c>
      <c r="C154" s="39">
        <f t="shared" si="6"/>
        <v>0</v>
      </c>
      <c r="D154" s="1">
        <v>0</v>
      </c>
      <c r="E154" s="1">
        <v>0</v>
      </c>
      <c r="F154" s="1"/>
      <c r="G154" s="1">
        <v>0</v>
      </c>
      <c r="H154" s="1"/>
      <c r="I154" s="1">
        <v>0</v>
      </c>
      <c r="J154" s="1">
        <v>0</v>
      </c>
      <c r="K154" s="1">
        <v>0</v>
      </c>
      <c r="L154" s="1">
        <v>0</v>
      </c>
    </row>
    <row r="155" spans="1:13" s="4" customFormat="1" x14ac:dyDescent="0.25">
      <c r="A155" s="1">
        <f t="shared" si="5"/>
        <v>23</v>
      </c>
      <c r="B155" s="6">
        <v>45080</v>
      </c>
      <c r="C155" s="39">
        <f t="shared" si="6"/>
        <v>3.5485714285714285</v>
      </c>
      <c r="D155" s="1">
        <v>2</v>
      </c>
      <c r="E155" s="1">
        <v>1</v>
      </c>
      <c r="F155" s="1"/>
      <c r="G155" s="1">
        <v>2.25</v>
      </c>
      <c r="H155" s="1"/>
      <c r="I155" s="1">
        <v>2.4</v>
      </c>
      <c r="J155" s="1">
        <v>2.79</v>
      </c>
      <c r="K155" s="1">
        <v>13</v>
      </c>
      <c r="L155" s="1">
        <v>1.4</v>
      </c>
    </row>
    <row r="156" spans="1:13" s="4" customFormat="1" x14ac:dyDescent="0.25">
      <c r="A156" s="1">
        <f t="shared" si="5"/>
        <v>23</v>
      </c>
      <c r="B156" s="6">
        <v>45081</v>
      </c>
      <c r="C156" s="39">
        <f t="shared" si="6"/>
        <v>45.617142857142859</v>
      </c>
      <c r="D156" s="1">
        <v>52</v>
      </c>
      <c r="E156" s="1">
        <v>40.5</v>
      </c>
      <c r="F156" s="1"/>
      <c r="G156" s="1">
        <v>56</v>
      </c>
      <c r="H156" s="1"/>
      <c r="I156" s="1">
        <v>40.4</v>
      </c>
      <c r="J156" s="1">
        <v>61.42</v>
      </c>
      <c r="K156" s="1">
        <v>18</v>
      </c>
      <c r="L156" s="1">
        <v>51</v>
      </c>
    </row>
    <row r="157" spans="1:13" s="4" customFormat="1" x14ac:dyDescent="0.25">
      <c r="A157" s="1">
        <f t="shared" si="5"/>
        <v>24</v>
      </c>
      <c r="B157" s="6">
        <v>45082</v>
      </c>
      <c r="C157" s="39">
        <f t="shared" si="6"/>
        <v>0</v>
      </c>
      <c r="D157" s="1">
        <v>0</v>
      </c>
      <c r="E157" s="1">
        <v>0</v>
      </c>
      <c r="F157" s="1"/>
      <c r="G157" s="1">
        <v>0</v>
      </c>
      <c r="H157" s="1"/>
      <c r="I157" s="1">
        <v>0</v>
      </c>
      <c r="J157" s="1">
        <v>0</v>
      </c>
      <c r="K157" s="1">
        <v>0</v>
      </c>
      <c r="L157" s="1">
        <v>0</v>
      </c>
    </row>
    <row r="158" spans="1:13" s="4" customFormat="1" x14ac:dyDescent="0.25">
      <c r="A158" s="1">
        <f t="shared" si="5"/>
        <v>24</v>
      </c>
      <c r="B158" s="6">
        <v>45083</v>
      </c>
      <c r="C158" s="39">
        <f t="shared" si="6"/>
        <v>0</v>
      </c>
      <c r="D158" s="1">
        <v>0</v>
      </c>
      <c r="E158" s="1">
        <v>0</v>
      </c>
      <c r="F158" s="1"/>
      <c r="G158" s="1">
        <v>0</v>
      </c>
      <c r="H158" s="1"/>
      <c r="I158" s="1">
        <v>0</v>
      </c>
      <c r="J158" s="1">
        <v>0</v>
      </c>
      <c r="K158" s="1">
        <v>0</v>
      </c>
      <c r="L158" s="1">
        <v>0</v>
      </c>
    </row>
    <row r="159" spans="1:13" s="4" customFormat="1" x14ac:dyDescent="0.25">
      <c r="A159" s="1">
        <f t="shared" si="5"/>
        <v>24</v>
      </c>
      <c r="B159" s="6">
        <v>45084</v>
      </c>
      <c r="C159" s="39">
        <f t="shared" si="6"/>
        <v>0</v>
      </c>
      <c r="D159" s="1">
        <v>0</v>
      </c>
      <c r="E159" s="1">
        <v>0</v>
      </c>
      <c r="F159" s="1"/>
      <c r="G159" s="1">
        <v>0</v>
      </c>
      <c r="H159" s="1"/>
      <c r="I159" s="1">
        <v>0</v>
      </c>
      <c r="J159" s="1">
        <v>0</v>
      </c>
      <c r="K159" s="1">
        <v>0</v>
      </c>
      <c r="L159" s="1">
        <v>0</v>
      </c>
    </row>
    <row r="160" spans="1:13" s="4" customFormat="1" x14ac:dyDescent="0.25">
      <c r="A160" s="1">
        <f t="shared" si="5"/>
        <v>24</v>
      </c>
      <c r="B160" s="6">
        <v>45085</v>
      </c>
      <c r="C160" s="39">
        <f t="shared" si="6"/>
        <v>0</v>
      </c>
      <c r="D160" s="1">
        <v>0</v>
      </c>
      <c r="E160" s="1">
        <v>0</v>
      </c>
      <c r="F160" s="1"/>
      <c r="G160" s="1">
        <v>0</v>
      </c>
      <c r="H160" s="1"/>
      <c r="I160" s="1">
        <v>0</v>
      </c>
      <c r="J160" s="1">
        <v>0</v>
      </c>
      <c r="K160" s="1">
        <v>0</v>
      </c>
      <c r="L160" s="1">
        <v>0</v>
      </c>
    </row>
    <row r="161" spans="1:15" s="4" customFormat="1" x14ac:dyDescent="0.25">
      <c r="A161" s="1">
        <f t="shared" si="5"/>
        <v>24</v>
      </c>
      <c r="B161" s="6">
        <v>45086</v>
      </c>
      <c r="C161" s="39">
        <f t="shared" si="6"/>
        <v>8.2857142857142865</v>
      </c>
      <c r="D161" s="1">
        <v>2.5</v>
      </c>
      <c r="E161" s="1">
        <v>14.5</v>
      </c>
      <c r="F161" s="1"/>
      <c r="G161" s="1">
        <v>9</v>
      </c>
      <c r="H161" s="1"/>
      <c r="I161" s="1">
        <v>11</v>
      </c>
      <c r="J161" s="1">
        <v>11.2</v>
      </c>
      <c r="K161" s="1">
        <v>1.2</v>
      </c>
      <c r="L161" s="1">
        <v>8.6</v>
      </c>
    </row>
    <row r="162" spans="1:15" s="4" customFormat="1" x14ac:dyDescent="0.25">
      <c r="A162" s="1">
        <f t="shared" si="5"/>
        <v>24</v>
      </c>
      <c r="B162" s="6">
        <v>45087</v>
      </c>
      <c r="C162" s="39">
        <f t="shared" si="6"/>
        <v>0.21571428571428572</v>
      </c>
      <c r="D162" s="1">
        <v>0.3</v>
      </c>
      <c r="E162" s="1">
        <v>0.1</v>
      </c>
      <c r="F162" s="1"/>
      <c r="G162" s="1">
        <v>0.5</v>
      </c>
      <c r="H162" s="1"/>
      <c r="I162" s="1">
        <v>0.3</v>
      </c>
      <c r="J162" s="1">
        <v>0.31</v>
      </c>
      <c r="K162" s="1">
        <v>0</v>
      </c>
      <c r="L162" s="1">
        <v>0</v>
      </c>
    </row>
    <row r="163" spans="1:15" s="4" customFormat="1" x14ac:dyDescent="0.25">
      <c r="A163" s="1">
        <f t="shared" si="5"/>
        <v>24</v>
      </c>
      <c r="B163" s="6">
        <v>45088</v>
      </c>
      <c r="C163" s="39">
        <f t="shared" ref="C163:C194" si="7">AVERAGE(D163:L163)</f>
        <v>0</v>
      </c>
      <c r="D163" s="1">
        <v>0</v>
      </c>
      <c r="E163" s="1">
        <v>0</v>
      </c>
      <c r="F163" s="1"/>
      <c r="G163" s="1">
        <v>0</v>
      </c>
      <c r="H163" s="1"/>
      <c r="I163" s="1">
        <v>0</v>
      </c>
      <c r="J163" s="1">
        <v>0</v>
      </c>
      <c r="K163" s="1">
        <v>0</v>
      </c>
      <c r="L163" s="1">
        <v>0</v>
      </c>
    </row>
    <row r="164" spans="1:15" s="4" customFormat="1" x14ac:dyDescent="0.25">
      <c r="A164" s="1"/>
      <c r="B164" s="6">
        <v>45089</v>
      </c>
      <c r="C164" s="39">
        <f t="shared" si="7"/>
        <v>0</v>
      </c>
      <c r="D164" s="1">
        <v>0</v>
      </c>
      <c r="E164" s="1">
        <v>0</v>
      </c>
      <c r="F164" s="1"/>
      <c r="G164" s="1">
        <v>0</v>
      </c>
      <c r="H164" s="1"/>
      <c r="I164" s="1">
        <v>0</v>
      </c>
      <c r="J164" s="1">
        <v>0</v>
      </c>
      <c r="K164" s="1">
        <v>0</v>
      </c>
      <c r="L164" s="1">
        <v>0</v>
      </c>
    </row>
    <row r="165" spans="1:15" s="4" customFormat="1" x14ac:dyDescent="0.25">
      <c r="A165" s="1">
        <f t="shared" si="5"/>
        <v>25</v>
      </c>
      <c r="B165" s="6">
        <v>45090</v>
      </c>
      <c r="C165" s="39">
        <f t="shared" si="7"/>
        <v>0</v>
      </c>
      <c r="D165" s="1">
        <v>0</v>
      </c>
      <c r="E165" s="1">
        <v>0</v>
      </c>
      <c r="F165" s="1"/>
      <c r="G165" s="1">
        <v>0</v>
      </c>
      <c r="H165" s="1"/>
      <c r="I165" s="1">
        <v>0</v>
      </c>
      <c r="J165" s="1">
        <v>0</v>
      </c>
      <c r="K165" s="1">
        <v>0</v>
      </c>
      <c r="L165" s="1">
        <v>0</v>
      </c>
    </row>
    <row r="166" spans="1:15" s="4" customFormat="1" x14ac:dyDescent="0.25">
      <c r="A166" s="1">
        <f t="shared" si="5"/>
        <v>25</v>
      </c>
      <c r="B166" s="6">
        <v>45091</v>
      </c>
      <c r="C166" s="39">
        <f t="shared" si="7"/>
        <v>26.844285714285714</v>
      </c>
      <c r="D166" s="1">
        <v>40.5</v>
      </c>
      <c r="E166" s="1">
        <v>29</v>
      </c>
      <c r="F166" s="1"/>
      <c r="G166" s="1">
        <v>32</v>
      </c>
      <c r="H166" s="1"/>
      <c r="I166" s="1">
        <v>35</v>
      </c>
      <c r="J166" s="1">
        <v>13.41</v>
      </c>
      <c r="K166" s="1">
        <v>20</v>
      </c>
      <c r="L166" s="1">
        <v>18</v>
      </c>
    </row>
    <row r="167" spans="1:15" s="4" customFormat="1" x14ac:dyDescent="0.25">
      <c r="A167" s="1">
        <f t="shared" si="5"/>
        <v>25</v>
      </c>
      <c r="B167" s="6">
        <v>45092</v>
      </c>
      <c r="C167" s="39">
        <f t="shared" si="7"/>
        <v>11.671428571428569</v>
      </c>
      <c r="D167" s="1">
        <v>8.5</v>
      </c>
      <c r="E167" s="1">
        <v>10</v>
      </c>
      <c r="F167" s="1"/>
      <c r="G167" s="1">
        <v>7</v>
      </c>
      <c r="H167" s="1"/>
      <c r="I167" s="1">
        <v>10</v>
      </c>
      <c r="J167" s="1">
        <v>7.6</v>
      </c>
      <c r="K167" s="1">
        <v>9.1999999999999993</v>
      </c>
      <c r="L167" s="1">
        <v>29.4</v>
      </c>
    </row>
    <row r="168" spans="1:15" s="4" customFormat="1" x14ac:dyDescent="0.25">
      <c r="A168" s="1">
        <f t="shared" si="5"/>
        <v>25</v>
      </c>
      <c r="B168" s="6">
        <v>45093</v>
      </c>
      <c r="C168" s="39">
        <f t="shared" si="7"/>
        <v>0</v>
      </c>
      <c r="D168" s="1">
        <v>0</v>
      </c>
      <c r="E168" s="1">
        <v>0</v>
      </c>
      <c r="F168" s="1"/>
      <c r="G168" s="1">
        <v>0</v>
      </c>
      <c r="H168" s="1"/>
      <c r="I168" s="1">
        <v>0</v>
      </c>
      <c r="J168" s="1">
        <v>0</v>
      </c>
      <c r="K168" s="1">
        <v>0</v>
      </c>
      <c r="L168" s="1">
        <v>0</v>
      </c>
      <c r="O168" s="21"/>
    </row>
    <row r="169" spans="1:15" s="4" customFormat="1" x14ac:dyDescent="0.25">
      <c r="A169" s="1">
        <f t="shared" si="5"/>
        <v>25</v>
      </c>
      <c r="B169" s="6">
        <v>45094</v>
      </c>
      <c r="C169" s="39">
        <f t="shared" si="7"/>
        <v>1.0428571428571429</v>
      </c>
      <c r="D169" s="1">
        <v>1.9</v>
      </c>
      <c r="E169" s="1">
        <v>0.9</v>
      </c>
      <c r="F169" s="1"/>
      <c r="G169" s="1">
        <v>1</v>
      </c>
      <c r="H169" s="1"/>
      <c r="I169" s="1">
        <v>2</v>
      </c>
      <c r="J169" s="1">
        <v>0.3</v>
      </c>
      <c r="K169" s="1">
        <v>0</v>
      </c>
      <c r="L169" s="1">
        <v>1.2</v>
      </c>
    </row>
    <row r="170" spans="1:15" s="4" customFormat="1" x14ac:dyDescent="0.25">
      <c r="A170" s="1">
        <f t="shared" si="5"/>
        <v>25</v>
      </c>
      <c r="B170" s="6">
        <v>45095</v>
      </c>
      <c r="C170" s="39">
        <f t="shared" si="7"/>
        <v>2.7428571428571429</v>
      </c>
      <c r="D170" s="1">
        <v>1.5</v>
      </c>
      <c r="E170" s="1">
        <v>2.5</v>
      </c>
      <c r="F170" s="1"/>
      <c r="G170" s="1">
        <v>0.7</v>
      </c>
      <c r="H170" s="1"/>
      <c r="I170" s="1">
        <v>4.5</v>
      </c>
      <c r="J170" s="1">
        <v>0</v>
      </c>
      <c r="K170" s="1">
        <v>9</v>
      </c>
      <c r="L170" s="1">
        <v>1</v>
      </c>
    </row>
    <row r="171" spans="1:15" s="4" customFormat="1" x14ac:dyDescent="0.25">
      <c r="A171" s="1">
        <f t="shared" si="5"/>
        <v>26</v>
      </c>
      <c r="B171" s="6">
        <v>45096</v>
      </c>
      <c r="C171" s="39">
        <f t="shared" si="7"/>
        <v>2.4300000000000002</v>
      </c>
      <c r="D171" s="1">
        <v>0.5</v>
      </c>
      <c r="E171" s="1">
        <v>2</v>
      </c>
      <c r="F171" s="1"/>
      <c r="G171" s="1">
        <v>2</v>
      </c>
      <c r="H171" s="1"/>
      <c r="I171" s="1">
        <v>2</v>
      </c>
      <c r="J171" s="1">
        <v>0.71</v>
      </c>
      <c r="K171" s="1">
        <v>9</v>
      </c>
      <c r="L171" s="1">
        <v>0.8</v>
      </c>
    </row>
    <row r="172" spans="1:15" s="4" customFormat="1" x14ac:dyDescent="0.25">
      <c r="A172" s="1">
        <f t="shared" si="5"/>
        <v>26</v>
      </c>
      <c r="B172" s="6">
        <v>45097</v>
      </c>
      <c r="C172" s="39">
        <f t="shared" si="7"/>
        <v>0.90714285714285714</v>
      </c>
      <c r="D172" s="1">
        <v>1.5</v>
      </c>
      <c r="E172" s="1">
        <v>1</v>
      </c>
      <c r="F172" s="1"/>
      <c r="G172" s="1">
        <v>1.5</v>
      </c>
      <c r="H172" s="1"/>
      <c r="I172" s="1">
        <v>1</v>
      </c>
      <c r="J172" s="1">
        <v>0.3</v>
      </c>
      <c r="K172" s="1">
        <v>0.25</v>
      </c>
      <c r="L172" s="1">
        <v>0.8</v>
      </c>
    </row>
    <row r="173" spans="1:15" s="4" customFormat="1" x14ac:dyDescent="0.25">
      <c r="A173" s="1">
        <f t="shared" si="5"/>
        <v>26</v>
      </c>
      <c r="B173" s="6">
        <v>45098</v>
      </c>
      <c r="C173" s="39">
        <f t="shared" si="7"/>
        <v>21.444285714285716</v>
      </c>
      <c r="D173" s="1">
        <v>13.5</v>
      </c>
      <c r="E173" s="1">
        <v>24</v>
      </c>
      <c r="F173" s="1"/>
      <c r="G173" s="1">
        <v>19</v>
      </c>
      <c r="H173" s="1"/>
      <c r="I173" s="1">
        <v>28</v>
      </c>
      <c r="J173" s="1">
        <v>15.01</v>
      </c>
      <c r="K173" s="1">
        <v>25</v>
      </c>
      <c r="L173" s="1">
        <v>25.6</v>
      </c>
    </row>
    <row r="174" spans="1:15" s="4" customFormat="1" x14ac:dyDescent="0.25">
      <c r="A174" s="1">
        <f t="shared" si="5"/>
        <v>26</v>
      </c>
      <c r="B174" s="6">
        <v>45099</v>
      </c>
      <c r="C174" s="39">
        <f t="shared" si="7"/>
        <v>0</v>
      </c>
      <c r="D174" s="1">
        <v>0</v>
      </c>
      <c r="E174" s="1">
        <v>0</v>
      </c>
      <c r="F174" s="1"/>
      <c r="G174" s="1">
        <v>0</v>
      </c>
      <c r="H174" s="1"/>
      <c r="I174" s="1">
        <v>0</v>
      </c>
      <c r="J174" s="1">
        <v>0</v>
      </c>
      <c r="K174" s="1">
        <v>0</v>
      </c>
      <c r="L174" s="1">
        <v>0</v>
      </c>
    </row>
    <row r="175" spans="1:15" s="4" customFormat="1" x14ac:dyDescent="0.25">
      <c r="A175" s="1">
        <f t="shared" si="5"/>
        <v>26</v>
      </c>
      <c r="B175" s="6">
        <v>45100</v>
      </c>
      <c r="C175" s="39">
        <f t="shared" si="7"/>
        <v>0.21428571428571427</v>
      </c>
      <c r="D175" s="1">
        <v>0</v>
      </c>
      <c r="E175" s="1">
        <v>0</v>
      </c>
      <c r="F175" s="1"/>
      <c r="G175" s="1">
        <v>0</v>
      </c>
      <c r="H175" s="1"/>
      <c r="I175" s="1">
        <v>0</v>
      </c>
      <c r="J175" s="1">
        <v>0</v>
      </c>
      <c r="K175" s="1">
        <v>1.5</v>
      </c>
      <c r="L175" s="1">
        <v>0</v>
      </c>
    </row>
    <row r="176" spans="1:15" s="4" customFormat="1" x14ac:dyDescent="0.25">
      <c r="A176" s="1">
        <f t="shared" si="5"/>
        <v>26</v>
      </c>
      <c r="B176" s="6">
        <v>45101</v>
      </c>
      <c r="C176" s="39">
        <f t="shared" si="7"/>
        <v>0</v>
      </c>
      <c r="D176" s="1">
        <v>0</v>
      </c>
      <c r="E176" s="1">
        <v>0</v>
      </c>
      <c r="F176" s="1"/>
      <c r="G176" s="1">
        <v>0</v>
      </c>
      <c r="H176" s="1"/>
      <c r="I176" s="1">
        <v>0</v>
      </c>
      <c r="J176" s="1">
        <v>0</v>
      </c>
      <c r="K176" s="1">
        <v>0</v>
      </c>
      <c r="L176" s="1">
        <v>0</v>
      </c>
    </row>
    <row r="177" spans="1:13" s="4" customFormat="1" x14ac:dyDescent="0.25">
      <c r="A177" s="1">
        <f t="shared" si="5"/>
        <v>26</v>
      </c>
      <c r="B177" s="6">
        <v>45102</v>
      </c>
      <c r="C177" s="39">
        <f t="shared" si="7"/>
        <v>3.0371428571428569</v>
      </c>
      <c r="D177" s="1">
        <v>8</v>
      </c>
      <c r="E177" s="1">
        <v>0.25</v>
      </c>
      <c r="F177" s="1"/>
      <c r="G177" s="1">
        <v>4.5</v>
      </c>
      <c r="H177" s="1"/>
      <c r="I177" s="1">
        <v>0.5</v>
      </c>
      <c r="J177" s="1">
        <v>0.51</v>
      </c>
      <c r="K177" s="1">
        <v>7.5</v>
      </c>
      <c r="L177" s="1">
        <v>0</v>
      </c>
    </row>
    <row r="178" spans="1:13" s="4" customFormat="1" x14ac:dyDescent="0.25">
      <c r="A178" s="1">
        <f t="shared" si="5"/>
        <v>27</v>
      </c>
      <c r="B178" s="6">
        <v>45103</v>
      </c>
      <c r="C178" s="39">
        <f t="shared" si="7"/>
        <v>0.19999999999999998</v>
      </c>
      <c r="D178" s="1">
        <v>0</v>
      </c>
      <c r="E178" s="1">
        <v>0</v>
      </c>
      <c r="F178" s="1"/>
      <c r="G178" s="1">
        <v>0</v>
      </c>
      <c r="H178" s="1"/>
      <c r="I178" s="1">
        <v>0</v>
      </c>
      <c r="J178" s="1">
        <v>0</v>
      </c>
      <c r="K178" s="1">
        <v>1.4</v>
      </c>
      <c r="L178" s="1">
        <v>0</v>
      </c>
    </row>
    <row r="179" spans="1:13" s="4" customFormat="1" x14ac:dyDescent="0.25">
      <c r="A179" s="1">
        <f t="shared" si="5"/>
        <v>27</v>
      </c>
      <c r="B179" s="6">
        <v>45104</v>
      </c>
      <c r="C179" s="39">
        <f t="shared" si="7"/>
        <v>33.244285714285709</v>
      </c>
      <c r="D179" s="1">
        <v>34.5</v>
      </c>
      <c r="E179" s="1">
        <v>37</v>
      </c>
      <c r="F179" s="1"/>
      <c r="G179" s="1">
        <v>32</v>
      </c>
      <c r="H179" s="1"/>
      <c r="I179" s="1">
        <v>35.5</v>
      </c>
      <c r="J179" s="1">
        <v>32.51</v>
      </c>
      <c r="K179" s="1">
        <v>25</v>
      </c>
      <c r="L179" s="1">
        <v>36.200000000000003</v>
      </c>
    </row>
    <row r="180" spans="1:13" s="4" customFormat="1" x14ac:dyDescent="0.25">
      <c r="A180" s="1">
        <f t="shared" si="5"/>
        <v>27</v>
      </c>
      <c r="B180" s="6">
        <v>45105</v>
      </c>
      <c r="C180" s="39">
        <f t="shared" si="7"/>
        <v>2.1657142857142859</v>
      </c>
      <c r="D180" s="1">
        <v>0</v>
      </c>
      <c r="E180" s="1">
        <v>1</v>
      </c>
      <c r="F180" s="1"/>
      <c r="G180" s="1">
        <v>2.2599999999999998</v>
      </c>
      <c r="H180" s="1"/>
      <c r="I180" s="1">
        <v>1.4</v>
      </c>
      <c r="J180" s="1">
        <v>6.1</v>
      </c>
      <c r="K180" s="1">
        <v>0</v>
      </c>
      <c r="L180" s="1">
        <v>4.4000000000000004</v>
      </c>
    </row>
    <row r="181" spans="1:13" s="4" customFormat="1" x14ac:dyDescent="0.25">
      <c r="A181" s="1">
        <f t="shared" si="5"/>
        <v>27</v>
      </c>
      <c r="B181" s="6">
        <v>45106</v>
      </c>
      <c r="C181" s="39">
        <f t="shared" si="7"/>
        <v>3.0842857142857141</v>
      </c>
      <c r="D181" s="1">
        <v>0.24</v>
      </c>
      <c r="E181" s="1">
        <v>7.5</v>
      </c>
      <c r="F181" s="1"/>
      <c r="G181" s="1">
        <v>2.25</v>
      </c>
      <c r="H181" s="1"/>
      <c r="I181" s="1">
        <v>4</v>
      </c>
      <c r="J181" s="1">
        <v>4.5999999999999996</v>
      </c>
      <c r="K181" s="1">
        <v>0</v>
      </c>
      <c r="L181" s="1">
        <v>3</v>
      </c>
    </row>
    <row r="182" spans="1:13" s="14" customFormat="1" ht="15.75" thickBot="1" x14ac:dyDescent="0.3">
      <c r="A182" s="13">
        <f t="shared" si="5"/>
        <v>27</v>
      </c>
      <c r="B182" s="44">
        <v>45107</v>
      </c>
      <c r="C182" s="45">
        <f t="shared" si="7"/>
        <v>0</v>
      </c>
      <c r="D182" s="46">
        <v>0</v>
      </c>
      <c r="E182" s="46">
        <v>0</v>
      </c>
      <c r="F182" s="46"/>
      <c r="G182" s="46">
        <v>0</v>
      </c>
      <c r="H182" s="46"/>
      <c r="I182" s="46">
        <v>0</v>
      </c>
      <c r="J182" s="46">
        <v>0</v>
      </c>
      <c r="K182" s="46">
        <v>0</v>
      </c>
      <c r="L182" s="46">
        <v>0</v>
      </c>
      <c r="M182" s="47">
        <f>SUM(C153:C182)</f>
        <v>166.69571428571425</v>
      </c>
    </row>
    <row r="183" spans="1:13" s="4" customFormat="1" ht="15.75" thickTop="1" x14ac:dyDescent="0.25">
      <c r="A183" s="1">
        <f t="shared" si="5"/>
        <v>27</v>
      </c>
      <c r="B183" s="42">
        <v>45108</v>
      </c>
      <c r="C183" s="43">
        <f t="shared" si="7"/>
        <v>0</v>
      </c>
      <c r="D183" s="16">
        <v>0</v>
      </c>
      <c r="E183" s="16">
        <v>0</v>
      </c>
      <c r="F183" s="16">
        <v>0</v>
      </c>
      <c r="G183" s="16">
        <v>0</v>
      </c>
      <c r="H183" s="16">
        <v>0</v>
      </c>
      <c r="I183" s="16">
        <v>0</v>
      </c>
      <c r="J183" s="16">
        <v>0</v>
      </c>
      <c r="K183" s="16"/>
      <c r="L183" s="16">
        <v>0</v>
      </c>
    </row>
    <row r="184" spans="1:13" s="4" customFormat="1" x14ac:dyDescent="0.25">
      <c r="A184" s="1">
        <f t="shared" si="5"/>
        <v>27</v>
      </c>
      <c r="B184" s="6">
        <v>45109</v>
      </c>
      <c r="C184" s="39">
        <f t="shared" si="7"/>
        <v>0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  <c r="K184" s="1"/>
      <c r="L184" s="1">
        <v>0</v>
      </c>
    </row>
    <row r="185" spans="1:13" s="4" customFormat="1" x14ac:dyDescent="0.25">
      <c r="A185" s="1">
        <f t="shared" si="5"/>
        <v>28</v>
      </c>
      <c r="B185" s="6">
        <v>45110</v>
      </c>
      <c r="C185" s="39">
        <f t="shared" si="7"/>
        <v>0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  <c r="K185" s="1"/>
      <c r="L185" s="1">
        <v>0</v>
      </c>
    </row>
    <row r="186" spans="1:13" s="4" customFormat="1" x14ac:dyDescent="0.25">
      <c r="A186" s="1">
        <f t="shared" si="5"/>
        <v>28</v>
      </c>
      <c r="B186" s="6">
        <v>45111</v>
      </c>
      <c r="C186" s="39">
        <f t="shared" si="7"/>
        <v>0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  <c r="K186" s="1"/>
      <c r="L186" s="1">
        <v>0</v>
      </c>
    </row>
    <row r="187" spans="1:13" s="4" customFormat="1" x14ac:dyDescent="0.25">
      <c r="A187" s="1">
        <f t="shared" si="5"/>
        <v>28</v>
      </c>
      <c r="B187" s="6">
        <v>45112</v>
      </c>
      <c r="C187" s="39">
        <f t="shared" si="7"/>
        <v>0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 s="1">
        <v>0</v>
      </c>
      <c r="J187" s="1">
        <v>0</v>
      </c>
      <c r="K187" s="1"/>
      <c r="L187" s="1">
        <v>0</v>
      </c>
    </row>
    <row r="188" spans="1:13" s="4" customFormat="1" x14ac:dyDescent="0.25">
      <c r="A188" s="1">
        <f t="shared" si="5"/>
        <v>28</v>
      </c>
      <c r="B188" s="6">
        <v>45113</v>
      </c>
      <c r="C188" s="39">
        <f t="shared" si="7"/>
        <v>0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  <c r="K188" s="1"/>
      <c r="L188" s="1">
        <v>0</v>
      </c>
      <c r="M188" s="21"/>
    </row>
    <row r="189" spans="1:13" s="4" customFormat="1" x14ac:dyDescent="0.25">
      <c r="A189" s="1">
        <f t="shared" si="5"/>
        <v>28</v>
      </c>
      <c r="B189" s="6">
        <v>45114</v>
      </c>
      <c r="C189" s="39">
        <f t="shared" si="7"/>
        <v>0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  <c r="K189" s="1"/>
      <c r="L189" s="1">
        <v>0</v>
      </c>
    </row>
    <row r="190" spans="1:13" s="4" customFormat="1" x14ac:dyDescent="0.25">
      <c r="A190" s="1">
        <f t="shared" si="5"/>
        <v>28</v>
      </c>
      <c r="B190" s="6">
        <v>45115</v>
      </c>
      <c r="C190" s="39">
        <f t="shared" si="7"/>
        <v>0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  <c r="K190" s="1"/>
      <c r="L190" s="1">
        <v>0</v>
      </c>
    </row>
    <row r="191" spans="1:13" s="4" customFormat="1" x14ac:dyDescent="0.25">
      <c r="A191" s="1">
        <f t="shared" si="5"/>
        <v>28</v>
      </c>
      <c r="B191" s="6">
        <v>45116</v>
      </c>
      <c r="C191" s="39">
        <f t="shared" si="7"/>
        <v>0</v>
      </c>
      <c r="D191" s="1">
        <v>0</v>
      </c>
      <c r="E191" s="1">
        <v>0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  <c r="K191" s="1"/>
      <c r="L191" s="1">
        <v>0</v>
      </c>
    </row>
    <row r="192" spans="1:13" s="4" customFormat="1" x14ac:dyDescent="0.25">
      <c r="A192" s="1">
        <f t="shared" si="5"/>
        <v>29</v>
      </c>
      <c r="B192" s="6">
        <v>45117</v>
      </c>
      <c r="C192" s="39">
        <f t="shared" si="7"/>
        <v>0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  <c r="K192" s="1"/>
      <c r="L192" s="1">
        <v>0</v>
      </c>
    </row>
    <row r="193" spans="1:12" s="4" customFormat="1" x14ac:dyDescent="0.25">
      <c r="A193" s="1">
        <f t="shared" si="5"/>
        <v>29</v>
      </c>
      <c r="B193" s="6">
        <v>45118</v>
      </c>
      <c r="C193" s="39">
        <f t="shared" si="7"/>
        <v>0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  <c r="K193" s="1"/>
      <c r="L193" s="1">
        <v>0</v>
      </c>
    </row>
    <row r="194" spans="1:12" s="4" customFormat="1" x14ac:dyDescent="0.25">
      <c r="A194" s="1">
        <f t="shared" si="5"/>
        <v>29</v>
      </c>
      <c r="B194" s="6">
        <v>45119</v>
      </c>
      <c r="C194" s="39">
        <f t="shared" si="7"/>
        <v>0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  <c r="K194" s="1"/>
      <c r="L194" s="1">
        <v>0</v>
      </c>
    </row>
    <row r="195" spans="1:12" s="4" customFormat="1" x14ac:dyDescent="0.25">
      <c r="A195" s="1">
        <f t="shared" ref="A195:A258" si="8">WEEKNUM($B195,2)</f>
        <v>29</v>
      </c>
      <c r="B195" s="6">
        <v>45120</v>
      </c>
      <c r="C195" s="39">
        <f t="shared" ref="C195:C258" si="9">AVERAGE(D195:L195)</f>
        <v>0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  <c r="K195" s="1"/>
      <c r="L195" s="1">
        <v>0</v>
      </c>
    </row>
    <row r="196" spans="1:12" s="4" customFormat="1" x14ac:dyDescent="0.25">
      <c r="A196" s="1">
        <f t="shared" si="8"/>
        <v>29</v>
      </c>
      <c r="B196" s="6">
        <v>45121</v>
      </c>
      <c r="C196" s="39">
        <f t="shared" si="9"/>
        <v>0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s="1"/>
      <c r="L196" s="1">
        <v>0</v>
      </c>
    </row>
    <row r="197" spans="1:12" s="4" customFormat="1" x14ac:dyDescent="0.25">
      <c r="A197" s="1">
        <f t="shared" si="8"/>
        <v>29</v>
      </c>
      <c r="B197" s="6">
        <v>45122</v>
      </c>
      <c r="C197" s="39">
        <f t="shared" si="9"/>
        <v>0</v>
      </c>
      <c r="D197" s="1">
        <v>0</v>
      </c>
      <c r="E197" s="1">
        <v>0</v>
      </c>
      <c r="F197" s="1">
        <v>0</v>
      </c>
      <c r="G197" s="1">
        <v>0</v>
      </c>
      <c r="H197" s="1">
        <v>0</v>
      </c>
      <c r="I197" s="1">
        <v>0</v>
      </c>
      <c r="J197" s="1">
        <v>0</v>
      </c>
      <c r="K197" s="1"/>
      <c r="L197" s="1">
        <v>0</v>
      </c>
    </row>
    <row r="198" spans="1:12" s="4" customFormat="1" x14ac:dyDescent="0.25">
      <c r="A198" s="1">
        <f t="shared" si="8"/>
        <v>29</v>
      </c>
      <c r="B198" s="6">
        <v>45123</v>
      </c>
      <c r="C198" s="39">
        <f t="shared" si="9"/>
        <v>0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">
        <v>0</v>
      </c>
      <c r="J198" s="1">
        <v>0</v>
      </c>
      <c r="K198" s="1"/>
      <c r="L198" s="1">
        <v>0</v>
      </c>
    </row>
    <row r="199" spans="1:12" s="4" customFormat="1" x14ac:dyDescent="0.25">
      <c r="A199" s="1">
        <f t="shared" si="8"/>
        <v>30</v>
      </c>
      <c r="B199" s="6">
        <v>45124</v>
      </c>
      <c r="C199" s="39">
        <f t="shared" si="9"/>
        <v>0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  <c r="K199" s="1"/>
      <c r="L199" s="1">
        <v>0</v>
      </c>
    </row>
    <row r="200" spans="1:12" s="4" customFormat="1" x14ac:dyDescent="0.25">
      <c r="A200" s="1">
        <f t="shared" si="8"/>
        <v>30</v>
      </c>
      <c r="B200" s="6">
        <v>45125</v>
      </c>
      <c r="C200" s="39">
        <f t="shared" si="9"/>
        <v>0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  <c r="K200" s="1"/>
      <c r="L200" s="1">
        <v>0</v>
      </c>
    </row>
    <row r="201" spans="1:12" s="4" customFormat="1" x14ac:dyDescent="0.25">
      <c r="A201" s="1">
        <f t="shared" si="8"/>
        <v>30</v>
      </c>
      <c r="B201" s="6">
        <v>45126</v>
      </c>
      <c r="C201" s="39">
        <f t="shared" si="9"/>
        <v>0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  <c r="K201" s="1"/>
      <c r="L201" s="1">
        <v>0</v>
      </c>
    </row>
    <row r="202" spans="1:12" s="4" customFormat="1" x14ac:dyDescent="0.25">
      <c r="A202" s="1">
        <f t="shared" si="8"/>
        <v>30</v>
      </c>
      <c r="B202" s="6">
        <v>45127</v>
      </c>
      <c r="C202" s="39">
        <f t="shared" si="9"/>
        <v>0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  <c r="K202" s="1"/>
      <c r="L202" s="1">
        <v>0</v>
      </c>
    </row>
    <row r="203" spans="1:12" s="4" customFormat="1" x14ac:dyDescent="0.25">
      <c r="A203" s="1">
        <f t="shared" si="8"/>
        <v>30</v>
      </c>
      <c r="B203" s="6">
        <v>45128</v>
      </c>
      <c r="C203" s="39">
        <f t="shared" si="9"/>
        <v>0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 s="1">
        <v>0</v>
      </c>
      <c r="J203" s="1">
        <v>0</v>
      </c>
      <c r="K203" s="1"/>
      <c r="L203" s="1">
        <v>0</v>
      </c>
    </row>
    <row r="204" spans="1:12" s="4" customFormat="1" x14ac:dyDescent="0.25">
      <c r="A204" s="1">
        <f t="shared" si="8"/>
        <v>30</v>
      </c>
      <c r="B204" s="6">
        <v>45129</v>
      </c>
      <c r="C204" s="39">
        <f t="shared" si="9"/>
        <v>0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  <c r="K204" s="1"/>
      <c r="L204" s="1">
        <v>0</v>
      </c>
    </row>
    <row r="205" spans="1:12" s="4" customFormat="1" x14ac:dyDescent="0.25">
      <c r="A205" s="1">
        <f t="shared" si="8"/>
        <v>30</v>
      </c>
      <c r="B205" s="6">
        <v>45130</v>
      </c>
      <c r="C205" s="39">
        <f t="shared" si="9"/>
        <v>0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  <c r="K205" s="1"/>
      <c r="L205" s="1">
        <v>0</v>
      </c>
    </row>
    <row r="206" spans="1:12" s="4" customFormat="1" x14ac:dyDescent="0.25">
      <c r="A206" s="1">
        <f t="shared" si="8"/>
        <v>31</v>
      </c>
      <c r="B206" s="6">
        <v>45131</v>
      </c>
      <c r="C206" s="39">
        <f t="shared" si="9"/>
        <v>0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">
        <v>0</v>
      </c>
      <c r="J206" s="1">
        <v>0</v>
      </c>
      <c r="K206" s="1"/>
      <c r="L206" s="1">
        <v>0</v>
      </c>
    </row>
    <row r="207" spans="1:12" s="4" customFormat="1" x14ac:dyDescent="0.25">
      <c r="A207" s="1">
        <f t="shared" si="8"/>
        <v>31</v>
      </c>
      <c r="B207" s="6">
        <v>45132</v>
      </c>
      <c r="C207" s="39">
        <f t="shared" si="9"/>
        <v>0</v>
      </c>
      <c r="D207" s="1">
        <v>0</v>
      </c>
      <c r="E207" s="1">
        <v>0</v>
      </c>
      <c r="F207" s="1">
        <v>0</v>
      </c>
      <c r="G207" s="1">
        <v>0</v>
      </c>
      <c r="H207" s="1">
        <v>0</v>
      </c>
      <c r="I207" s="1">
        <v>0</v>
      </c>
      <c r="J207" s="1">
        <v>0</v>
      </c>
      <c r="K207" s="1"/>
      <c r="L207" s="1">
        <v>0</v>
      </c>
    </row>
    <row r="208" spans="1:12" s="4" customFormat="1" x14ac:dyDescent="0.25">
      <c r="A208" s="1">
        <f t="shared" si="8"/>
        <v>31</v>
      </c>
      <c r="B208" s="6">
        <v>45133</v>
      </c>
      <c r="C208" s="39">
        <f t="shared" si="9"/>
        <v>0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  <c r="K208" s="1"/>
      <c r="L208" s="1">
        <v>0</v>
      </c>
    </row>
    <row r="209" spans="1:13" s="4" customFormat="1" x14ac:dyDescent="0.25">
      <c r="A209" s="1">
        <f t="shared" si="8"/>
        <v>31</v>
      </c>
      <c r="B209" s="6">
        <v>45134</v>
      </c>
      <c r="C209" s="39">
        <f t="shared" si="9"/>
        <v>0</v>
      </c>
      <c r="D209" s="1">
        <v>0</v>
      </c>
      <c r="E209" s="1">
        <v>0</v>
      </c>
      <c r="F209" s="1">
        <v>0</v>
      </c>
      <c r="G209" s="1">
        <v>0</v>
      </c>
      <c r="H209" s="1">
        <v>0</v>
      </c>
      <c r="I209" s="1">
        <v>0</v>
      </c>
      <c r="J209" s="1">
        <v>0</v>
      </c>
      <c r="K209" s="1"/>
      <c r="L209" s="1">
        <v>0</v>
      </c>
    </row>
    <row r="210" spans="1:13" s="4" customFormat="1" x14ac:dyDescent="0.25">
      <c r="A210" s="1">
        <f t="shared" si="8"/>
        <v>31</v>
      </c>
      <c r="B210" s="6">
        <v>45135</v>
      </c>
      <c r="C210" s="39">
        <f t="shared" si="9"/>
        <v>0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  <c r="K210" s="1"/>
      <c r="L210" s="1">
        <v>0</v>
      </c>
    </row>
    <row r="211" spans="1:13" s="4" customFormat="1" x14ac:dyDescent="0.25">
      <c r="A211" s="1">
        <f t="shared" si="8"/>
        <v>31</v>
      </c>
      <c r="B211" s="6">
        <v>45136</v>
      </c>
      <c r="C211" s="39">
        <f t="shared" si="9"/>
        <v>0</v>
      </c>
      <c r="D211" s="1">
        <v>0</v>
      </c>
      <c r="E211" s="1">
        <v>0</v>
      </c>
      <c r="F211" s="1">
        <v>0</v>
      </c>
      <c r="G211" s="1">
        <v>0</v>
      </c>
      <c r="H211" s="1">
        <v>0</v>
      </c>
      <c r="I211" s="1">
        <v>0</v>
      </c>
      <c r="J211" s="1">
        <v>0</v>
      </c>
      <c r="K211" s="1"/>
      <c r="L211" s="1">
        <v>0</v>
      </c>
    </row>
    <row r="212" spans="1:13" s="4" customFormat="1" x14ac:dyDescent="0.25">
      <c r="A212" s="18"/>
      <c r="B212" s="6">
        <v>45137</v>
      </c>
      <c r="C212" s="39">
        <f t="shared" si="9"/>
        <v>0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  <c r="K212" s="1"/>
      <c r="L212" s="1">
        <v>0</v>
      </c>
    </row>
    <row r="213" spans="1:13" s="25" customFormat="1" ht="15.75" thickBot="1" x14ac:dyDescent="0.3">
      <c r="A213" s="22">
        <f t="shared" si="8"/>
        <v>32</v>
      </c>
      <c r="B213" s="6">
        <v>45138</v>
      </c>
      <c r="C213" s="34">
        <f t="shared" si="9"/>
        <v>0</v>
      </c>
      <c r="D213" s="1">
        <v>0</v>
      </c>
      <c r="E213" s="1">
        <v>0</v>
      </c>
      <c r="F213" s="1">
        <v>0</v>
      </c>
      <c r="G213" s="1">
        <v>0</v>
      </c>
      <c r="H213" s="1">
        <v>0</v>
      </c>
      <c r="I213" s="1">
        <v>0</v>
      </c>
      <c r="J213" s="1">
        <v>0</v>
      </c>
      <c r="K213" s="1"/>
      <c r="L213" s="1">
        <v>0</v>
      </c>
      <c r="M213" s="24">
        <f>SUM(C183:C213)</f>
        <v>0</v>
      </c>
    </row>
    <row r="214" spans="1:13" s="4" customFormat="1" x14ac:dyDescent="0.25">
      <c r="A214" s="1">
        <f t="shared" si="8"/>
        <v>32</v>
      </c>
      <c r="B214" s="6">
        <v>45139</v>
      </c>
      <c r="C214" s="39">
        <f t="shared" si="9"/>
        <v>0</v>
      </c>
      <c r="D214" s="1">
        <v>0</v>
      </c>
      <c r="E214" s="1">
        <v>0</v>
      </c>
      <c r="F214" s="1">
        <v>0</v>
      </c>
      <c r="G214" s="1">
        <v>0</v>
      </c>
      <c r="H214" s="1">
        <v>0</v>
      </c>
      <c r="I214" s="1">
        <v>0</v>
      </c>
      <c r="J214" s="1">
        <v>0</v>
      </c>
      <c r="K214" s="1"/>
      <c r="L214" s="1">
        <v>0</v>
      </c>
    </row>
    <row r="215" spans="1:13" s="4" customFormat="1" x14ac:dyDescent="0.25">
      <c r="A215" s="1">
        <f t="shared" si="8"/>
        <v>32</v>
      </c>
      <c r="B215" s="6">
        <v>45140</v>
      </c>
      <c r="C215" s="39">
        <f t="shared" si="9"/>
        <v>0</v>
      </c>
      <c r="D215" s="1">
        <v>0</v>
      </c>
      <c r="E215" s="1">
        <v>0</v>
      </c>
      <c r="F215" s="1">
        <v>0</v>
      </c>
      <c r="G215" s="1">
        <v>0</v>
      </c>
      <c r="H215" s="1">
        <v>0</v>
      </c>
      <c r="I215" s="1">
        <v>0</v>
      </c>
      <c r="J215" s="1">
        <v>0</v>
      </c>
      <c r="K215" s="1"/>
      <c r="L215" s="1">
        <v>0</v>
      </c>
    </row>
    <row r="216" spans="1:13" s="4" customFormat="1" x14ac:dyDescent="0.25">
      <c r="A216" s="1">
        <f t="shared" si="8"/>
        <v>32</v>
      </c>
      <c r="B216" s="6">
        <v>45141</v>
      </c>
      <c r="C216" s="39">
        <f t="shared" si="9"/>
        <v>0</v>
      </c>
      <c r="D216" s="1">
        <v>0</v>
      </c>
      <c r="E216" s="1">
        <v>0</v>
      </c>
      <c r="F216" s="1">
        <v>0</v>
      </c>
      <c r="G216" s="1">
        <v>0</v>
      </c>
      <c r="H216" s="1">
        <v>0</v>
      </c>
      <c r="I216" s="1">
        <v>0</v>
      </c>
      <c r="J216" s="1">
        <v>0</v>
      </c>
      <c r="K216" s="1"/>
      <c r="L216" s="1">
        <v>0</v>
      </c>
    </row>
    <row r="217" spans="1:13" s="4" customFormat="1" x14ac:dyDescent="0.25">
      <c r="A217" s="1">
        <f t="shared" si="8"/>
        <v>32</v>
      </c>
      <c r="B217" s="6">
        <v>45142</v>
      </c>
      <c r="C217" s="39">
        <f t="shared" si="9"/>
        <v>0</v>
      </c>
      <c r="D217" s="1">
        <v>0</v>
      </c>
      <c r="E217" s="1">
        <v>0</v>
      </c>
      <c r="F217" s="1">
        <v>0</v>
      </c>
      <c r="G217" s="1">
        <v>0</v>
      </c>
      <c r="H217" s="1">
        <v>0</v>
      </c>
      <c r="I217" s="1">
        <v>0</v>
      </c>
      <c r="J217" s="1">
        <v>0</v>
      </c>
      <c r="K217" s="1"/>
      <c r="L217" s="1">
        <v>0</v>
      </c>
    </row>
    <row r="218" spans="1:13" s="4" customFormat="1" x14ac:dyDescent="0.25">
      <c r="A218" s="1">
        <f t="shared" si="8"/>
        <v>32</v>
      </c>
      <c r="B218" s="6">
        <v>45143</v>
      </c>
      <c r="C218" s="39">
        <f t="shared" si="9"/>
        <v>0</v>
      </c>
      <c r="D218" s="1">
        <v>0</v>
      </c>
      <c r="E218" s="1">
        <v>0</v>
      </c>
      <c r="F218" s="1">
        <v>0</v>
      </c>
      <c r="G218" s="1">
        <v>0</v>
      </c>
      <c r="H218" s="1">
        <v>0</v>
      </c>
      <c r="I218" s="1">
        <v>0</v>
      </c>
      <c r="J218" s="1">
        <v>0</v>
      </c>
      <c r="K218" s="1"/>
      <c r="L218" s="1">
        <v>0</v>
      </c>
    </row>
    <row r="219" spans="1:13" s="4" customFormat="1" x14ac:dyDescent="0.25">
      <c r="A219" s="1">
        <f t="shared" si="8"/>
        <v>32</v>
      </c>
      <c r="B219" s="6">
        <v>45144</v>
      </c>
      <c r="C219" s="39">
        <f t="shared" si="9"/>
        <v>0</v>
      </c>
      <c r="D219" s="1">
        <v>0</v>
      </c>
      <c r="E219" s="1">
        <v>0</v>
      </c>
      <c r="F219" s="1">
        <v>0</v>
      </c>
      <c r="G219" s="1">
        <v>0</v>
      </c>
      <c r="H219" s="1">
        <v>0</v>
      </c>
      <c r="I219" s="1">
        <v>0</v>
      </c>
      <c r="J219" s="1">
        <v>0</v>
      </c>
      <c r="K219" s="1"/>
      <c r="L219" s="1">
        <v>0</v>
      </c>
    </row>
    <row r="220" spans="1:13" s="4" customFormat="1" x14ac:dyDescent="0.25">
      <c r="A220" s="1">
        <f t="shared" si="8"/>
        <v>33</v>
      </c>
      <c r="B220" s="6">
        <v>45145</v>
      </c>
      <c r="C220" s="39">
        <f t="shared" si="9"/>
        <v>0</v>
      </c>
      <c r="D220" s="1">
        <v>0</v>
      </c>
      <c r="E220" s="1">
        <v>0</v>
      </c>
      <c r="F220" s="1">
        <v>0</v>
      </c>
      <c r="G220" s="1">
        <v>0</v>
      </c>
      <c r="H220" s="1">
        <v>0</v>
      </c>
      <c r="I220" s="1">
        <v>0</v>
      </c>
      <c r="J220" s="1">
        <v>0</v>
      </c>
      <c r="K220" s="1"/>
      <c r="L220" s="1">
        <v>0</v>
      </c>
    </row>
    <row r="221" spans="1:13" s="4" customFormat="1" x14ac:dyDescent="0.25">
      <c r="A221" s="1">
        <f t="shared" si="8"/>
        <v>33</v>
      </c>
      <c r="B221" s="6">
        <v>45146</v>
      </c>
      <c r="C221" s="39">
        <f t="shared" si="9"/>
        <v>0</v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 s="1">
        <v>0</v>
      </c>
      <c r="J221" s="1">
        <v>0</v>
      </c>
      <c r="K221" s="1"/>
      <c r="L221" s="1">
        <v>0</v>
      </c>
    </row>
    <row r="222" spans="1:13" s="4" customFormat="1" x14ac:dyDescent="0.25">
      <c r="A222" s="1">
        <f t="shared" si="8"/>
        <v>33</v>
      </c>
      <c r="B222" s="6">
        <v>45147</v>
      </c>
      <c r="C222" s="39">
        <f t="shared" si="9"/>
        <v>0</v>
      </c>
      <c r="D222" s="1">
        <v>0</v>
      </c>
      <c r="E222" s="1">
        <v>0</v>
      </c>
      <c r="F222" s="1">
        <v>0</v>
      </c>
      <c r="G222" s="1">
        <v>0</v>
      </c>
      <c r="H222" s="1">
        <v>0</v>
      </c>
      <c r="I222" s="1">
        <v>0</v>
      </c>
      <c r="J222" s="1">
        <v>0</v>
      </c>
      <c r="K222" s="1"/>
      <c r="L222" s="1">
        <v>0</v>
      </c>
    </row>
    <row r="223" spans="1:13" s="4" customFormat="1" x14ac:dyDescent="0.25">
      <c r="A223" s="1">
        <f t="shared" si="8"/>
        <v>33</v>
      </c>
      <c r="B223" s="6">
        <v>45148</v>
      </c>
      <c r="C223" s="39">
        <f t="shared" si="9"/>
        <v>0</v>
      </c>
      <c r="D223" s="1">
        <v>0</v>
      </c>
      <c r="E223" s="1">
        <v>0</v>
      </c>
      <c r="F223" s="1">
        <v>0</v>
      </c>
      <c r="G223" s="1">
        <v>0</v>
      </c>
      <c r="H223" s="1">
        <v>0</v>
      </c>
      <c r="I223" s="1">
        <v>0</v>
      </c>
      <c r="J223" s="1">
        <v>0</v>
      </c>
      <c r="K223" s="1"/>
      <c r="L223" s="1">
        <v>0</v>
      </c>
      <c r="M223" s="21"/>
    </row>
    <row r="224" spans="1:13" s="4" customFormat="1" x14ac:dyDescent="0.25">
      <c r="A224" s="1">
        <f t="shared" si="8"/>
        <v>33</v>
      </c>
      <c r="B224" s="6">
        <v>45149</v>
      </c>
      <c r="C224" s="39">
        <f t="shared" si="9"/>
        <v>0</v>
      </c>
      <c r="D224" s="1">
        <v>0</v>
      </c>
      <c r="E224" s="1">
        <v>0</v>
      </c>
      <c r="F224" s="1">
        <v>0</v>
      </c>
      <c r="G224" s="1">
        <v>0</v>
      </c>
      <c r="H224" s="1">
        <v>0</v>
      </c>
      <c r="I224" s="1">
        <v>0</v>
      </c>
      <c r="J224" s="1">
        <v>0</v>
      </c>
      <c r="K224" s="1"/>
      <c r="L224" s="1">
        <v>0</v>
      </c>
    </row>
    <row r="225" spans="1:12" s="4" customFormat="1" x14ac:dyDescent="0.25">
      <c r="A225" s="1">
        <f t="shared" si="8"/>
        <v>33</v>
      </c>
      <c r="B225" s="6">
        <v>45150</v>
      </c>
      <c r="C225" s="39">
        <f t="shared" si="9"/>
        <v>0</v>
      </c>
      <c r="D225" s="1">
        <v>0</v>
      </c>
      <c r="E225" s="1">
        <v>0</v>
      </c>
      <c r="F225" s="1">
        <v>0</v>
      </c>
      <c r="G225" s="1">
        <v>0</v>
      </c>
      <c r="H225" s="1">
        <v>0</v>
      </c>
      <c r="I225" s="1">
        <v>0</v>
      </c>
      <c r="J225" s="1">
        <v>0</v>
      </c>
      <c r="K225" s="1"/>
      <c r="L225" s="1">
        <v>0</v>
      </c>
    </row>
    <row r="226" spans="1:12" s="4" customFormat="1" x14ac:dyDescent="0.25">
      <c r="A226" s="1">
        <f t="shared" si="8"/>
        <v>33</v>
      </c>
      <c r="B226" s="6">
        <v>45151</v>
      </c>
      <c r="C226" s="39">
        <f t="shared" si="9"/>
        <v>0</v>
      </c>
      <c r="D226" s="1">
        <v>0</v>
      </c>
      <c r="E226" s="1">
        <v>0</v>
      </c>
      <c r="F226" s="1">
        <v>0</v>
      </c>
      <c r="G226" s="1">
        <v>0</v>
      </c>
      <c r="H226" s="1">
        <v>0</v>
      </c>
      <c r="I226" s="1">
        <v>0</v>
      </c>
      <c r="J226" s="1">
        <v>0</v>
      </c>
      <c r="K226" s="1"/>
      <c r="L226" s="1">
        <v>0</v>
      </c>
    </row>
    <row r="227" spans="1:12" s="4" customFormat="1" x14ac:dyDescent="0.25">
      <c r="A227" s="1">
        <f t="shared" si="8"/>
        <v>34</v>
      </c>
      <c r="B227" s="6">
        <v>45152</v>
      </c>
      <c r="C227" s="39">
        <f t="shared" si="9"/>
        <v>0</v>
      </c>
      <c r="D227" s="1">
        <v>0</v>
      </c>
      <c r="E227" s="1">
        <v>0</v>
      </c>
      <c r="F227" s="1">
        <v>0</v>
      </c>
      <c r="G227" s="1">
        <v>0</v>
      </c>
      <c r="H227" s="1">
        <v>0</v>
      </c>
      <c r="I227" s="1">
        <v>0</v>
      </c>
      <c r="J227" s="1">
        <v>0</v>
      </c>
      <c r="K227" s="1"/>
      <c r="L227" s="1">
        <v>0</v>
      </c>
    </row>
    <row r="228" spans="1:12" s="4" customFormat="1" x14ac:dyDescent="0.25">
      <c r="A228" s="1">
        <f t="shared" si="8"/>
        <v>34</v>
      </c>
      <c r="B228" s="6">
        <v>45153</v>
      </c>
      <c r="C228" s="39">
        <f t="shared" si="9"/>
        <v>0</v>
      </c>
      <c r="D228" s="1">
        <v>0</v>
      </c>
      <c r="E228" s="1">
        <v>0</v>
      </c>
      <c r="F228" s="1">
        <v>0</v>
      </c>
      <c r="G228" s="1">
        <v>0</v>
      </c>
      <c r="H228" s="1">
        <v>0</v>
      </c>
      <c r="I228" s="1">
        <v>0</v>
      </c>
      <c r="J228" s="1">
        <v>0</v>
      </c>
      <c r="K228" s="1"/>
      <c r="L228" s="1">
        <v>0</v>
      </c>
    </row>
    <row r="229" spans="1:12" s="4" customFormat="1" x14ac:dyDescent="0.25">
      <c r="A229" s="1">
        <f t="shared" si="8"/>
        <v>34</v>
      </c>
      <c r="B229" s="6">
        <v>45154</v>
      </c>
      <c r="C229" s="39">
        <f t="shared" si="9"/>
        <v>0</v>
      </c>
      <c r="D229" s="1">
        <v>0</v>
      </c>
      <c r="E229" s="1">
        <v>0</v>
      </c>
      <c r="F229" s="1">
        <v>0</v>
      </c>
      <c r="G229" s="1">
        <v>0</v>
      </c>
      <c r="H229" s="1">
        <v>0</v>
      </c>
      <c r="I229" s="1">
        <v>0</v>
      </c>
      <c r="J229" s="1">
        <v>0</v>
      </c>
      <c r="K229" s="1"/>
      <c r="L229" s="1">
        <v>0</v>
      </c>
    </row>
    <row r="230" spans="1:12" s="4" customFormat="1" x14ac:dyDescent="0.25">
      <c r="A230" s="1">
        <f t="shared" si="8"/>
        <v>34</v>
      </c>
      <c r="B230" s="6">
        <v>45155</v>
      </c>
      <c r="C230" s="39">
        <f t="shared" si="9"/>
        <v>0</v>
      </c>
      <c r="D230" s="1">
        <v>0</v>
      </c>
      <c r="E230" s="1">
        <v>0</v>
      </c>
      <c r="F230" s="1">
        <v>0</v>
      </c>
      <c r="G230" s="1">
        <v>0</v>
      </c>
      <c r="H230" s="1">
        <v>0</v>
      </c>
      <c r="I230" s="1">
        <v>0</v>
      </c>
      <c r="J230" s="1">
        <v>0</v>
      </c>
      <c r="K230" s="1"/>
      <c r="L230" s="1">
        <v>0</v>
      </c>
    </row>
    <row r="231" spans="1:12" s="4" customFormat="1" x14ac:dyDescent="0.25">
      <c r="A231" s="1">
        <f t="shared" si="8"/>
        <v>34</v>
      </c>
      <c r="B231" s="6">
        <v>45156</v>
      </c>
      <c r="C231" s="39">
        <f t="shared" si="9"/>
        <v>0</v>
      </c>
      <c r="D231" s="1">
        <v>0</v>
      </c>
      <c r="E231" s="1">
        <v>0</v>
      </c>
      <c r="F231" s="1">
        <v>0</v>
      </c>
      <c r="G231" s="1">
        <v>0</v>
      </c>
      <c r="H231" s="1">
        <v>0</v>
      </c>
      <c r="I231" s="1">
        <v>0</v>
      </c>
      <c r="J231" s="1">
        <v>0</v>
      </c>
      <c r="K231" s="1"/>
      <c r="L231" s="1">
        <v>0</v>
      </c>
    </row>
    <row r="232" spans="1:12" s="4" customFormat="1" x14ac:dyDescent="0.25">
      <c r="A232" s="1">
        <f t="shared" si="8"/>
        <v>34</v>
      </c>
      <c r="B232" s="6">
        <v>45157</v>
      </c>
      <c r="C232" s="39">
        <f t="shared" si="9"/>
        <v>0</v>
      </c>
      <c r="D232" s="1">
        <v>0</v>
      </c>
      <c r="E232" s="1">
        <v>0</v>
      </c>
      <c r="F232" s="1">
        <v>0</v>
      </c>
      <c r="G232" s="1">
        <v>0</v>
      </c>
      <c r="H232" s="1">
        <v>0</v>
      </c>
      <c r="I232" s="1">
        <v>0</v>
      </c>
      <c r="J232" s="1">
        <v>0</v>
      </c>
      <c r="K232" s="1"/>
      <c r="L232" s="1">
        <v>0</v>
      </c>
    </row>
    <row r="233" spans="1:12" s="4" customFormat="1" x14ac:dyDescent="0.25">
      <c r="A233" s="1">
        <f t="shared" si="8"/>
        <v>34</v>
      </c>
      <c r="B233" s="6">
        <v>45158</v>
      </c>
      <c r="C233" s="39">
        <f t="shared" si="9"/>
        <v>0</v>
      </c>
      <c r="D233" s="1">
        <v>0</v>
      </c>
      <c r="E233" s="1">
        <v>0</v>
      </c>
      <c r="F233" s="1">
        <v>0</v>
      </c>
      <c r="G233" s="1">
        <v>0</v>
      </c>
      <c r="H233" s="1">
        <v>0</v>
      </c>
      <c r="I233" s="1">
        <v>0</v>
      </c>
      <c r="J233" s="1">
        <v>0</v>
      </c>
      <c r="K233" s="1"/>
      <c r="L233" s="1">
        <v>0</v>
      </c>
    </row>
    <row r="234" spans="1:12" s="4" customFormat="1" x14ac:dyDescent="0.25">
      <c r="A234" s="1">
        <f t="shared" si="8"/>
        <v>35</v>
      </c>
      <c r="B234" s="6">
        <v>45159</v>
      </c>
      <c r="C234" s="39">
        <f t="shared" si="9"/>
        <v>0</v>
      </c>
      <c r="D234" s="1">
        <v>0</v>
      </c>
      <c r="E234" s="1">
        <v>0</v>
      </c>
      <c r="F234" s="1">
        <v>0</v>
      </c>
      <c r="G234" s="1">
        <v>0</v>
      </c>
      <c r="H234" s="1">
        <v>0</v>
      </c>
      <c r="I234" s="1">
        <v>0</v>
      </c>
      <c r="J234" s="1">
        <v>0</v>
      </c>
      <c r="K234" s="1"/>
      <c r="L234" s="1">
        <v>0</v>
      </c>
    </row>
    <row r="235" spans="1:12" s="4" customFormat="1" x14ac:dyDescent="0.25">
      <c r="A235" s="1">
        <f t="shared" si="8"/>
        <v>35</v>
      </c>
      <c r="B235" s="6">
        <v>45160</v>
      </c>
      <c r="C235" s="39">
        <f t="shared" si="9"/>
        <v>0</v>
      </c>
      <c r="D235" s="1">
        <v>0</v>
      </c>
      <c r="E235" s="1">
        <v>0</v>
      </c>
      <c r="F235" s="1">
        <v>0</v>
      </c>
      <c r="G235" s="1">
        <v>0</v>
      </c>
      <c r="H235" s="1">
        <v>0</v>
      </c>
      <c r="I235" s="1">
        <v>0</v>
      </c>
      <c r="J235" s="1">
        <v>0</v>
      </c>
      <c r="K235" s="1"/>
      <c r="L235" s="1">
        <v>0</v>
      </c>
    </row>
    <row r="236" spans="1:12" s="4" customFormat="1" x14ac:dyDescent="0.25">
      <c r="A236" s="1">
        <f t="shared" si="8"/>
        <v>35</v>
      </c>
      <c r="B236" s="6">
        <v>45161</v>
      </c>
      <c r="C236" s="39">
        <f t="shared" si="9"/>
        <v>0</v>
      </c>
      <c r="D236" s="1">
        <v>0</v>
      </c>
      <c r="E236" s="1">
        <v>0</v>
      </c>
      <c r="F236" s="1">
        <v>0</v>
      </c>
      <c r="G236" s="1">
        <v>0</v>
      </c>
      <c r="H236" s="1">
        <v>0</v>
      </c>
      <c r="I236" s="1">
        <v>0</v>
      </c>
      <c r="J236" s="1">
        <v>0</v>
      </c>
      <c r="K236" s="1"/>
      <c r="L236" s="1">
        <v>0</v>
      </c>
    </row>
    <row r="237" spans="1:12" s="4" customFormat="1" x14ac:dyDescent="0.25">
      <c r="A237" s="1">
        <f t="shared" si="8"/>
        <v>35</v>
      </c>
      <c r="B237" s="6">
        <v>45162</v>
      </c>
      <c r="C237" s="39">
        <f t="shared" si="9"/>
        <v>0</v>
      </c>
      <c r="D237" s="1">
        <v>0</v>
      </c>
      <c r="E237" s="1">
        <v>0</v>
      </c>
      <c r="F237" s="1">
        <v>0</v>
      </c>
      <c r="G237" s="1">
        <v>0</v>
      </c>
      <c r="H237" s="1">
        <v>0</v>
      </c>
      <c r="I237" s="1">
        <v>0</v>
      </c>
      <c r="J237" s="1">
        <v>0</v>
      </c>
      <c r="K237" s="1"/>
      <c r="L237" s="1">
        <v>0</v>
      </c>
    </row>
    <row r="238" spans="1:12" s="4" customFormat="1" x14ac:dyDescent="0.25">
      <c r="A238" s="1">
        <f t="shared" si="8"/>
        <v>35</v>
      </c>
      <c r="B238" s="6">
        <v>45163</v>
      </c>
      <c r="C238" s="39">
        <f t="shared" si="9"/>
        <v>0</v>
      </c>
      <c r="D238" s="1">
        <v>0</v>
      </c>
      <c r="E238" s="1">
        <v>0</v>
      </c>
      <c r="F238" s="1">
        <v>0</v>
      </c>
      <c r="G238" s="1">
        <v>0</v>
      </c>
      <c r="H238" s="1">
        <v>0</v>
      </c>
      <c r="I238" s="1">
        <v>0</v>
      </c>
      <c r="J238" s="1">
        <v>0</v>
      </c>
      <c r="K238" s="1"/>
      <c r="L238" s="1">
        <v>0</v>
      </c>
    </row>
    <row r="239" spans="1:12" s="4" customFormat="1" x14ac:dyDescent="0.25">
      <c r="A239" s="1">
        <f t="shared" si="8"/>
        <v>35</v>
      </c>
      <c r="B239" s="6">
        <v>45164</v>
      </c>
      <c r="C239" s="39">
        <f t="shared" si="9"/>
        <v>0</v>
      </c>
      <c r="D239" s="1">
        <v>0</v>
      </c>
      <c r="E239" s="1">
        <v>0</v>
      </c>
      <c r="F239" s="1">
        <v>0</v>
      </c>
      <c r="G239" s="1">
        <v>0</v>
      </c>
      <c r="H239" s="1">
        <v>0</v>
      </c>
      <c r="I239" s="1">
        <v>0</v>
      </c>
      <c r="J239" s="1">
        <v>0</v>
      </c>
      <c r="K239" s="1"/>
      <c r="L239" s="1">
        <v>0</v>
      </c>
    </row>
    <row r="240" spans="1:12" s="4" customFormat="1" x14ac:dyDescent="0.25">
      <c r="A240" s="1">
        <f t="shared" si="8"/>
        <v>35</v>
      </c>
      <c r="B240" s="6">
        <v>45165</v>
      </c>
      <c r="C240" s="39">
        <f t="shared" si="9"/>
        <v>0</v>
      </c>
      <c r="D240" s="1">
        <v>0</v>
      </c>
      <c r="E240" s="1">
        <v>0</v>
      </c>
      <c r="F240" s="1">
        <v>0</v>
      </c>
      <c r="G240" s="1">
        <v>0</v>
      </c>
      <c r="H240" s="1">
        <v>0</v>
      </c>
      <c r="I240" s="1">
        <v>0</v>
      </c>
      <c r="J240" s="1">
        <v>0</v>
      </c>
      <c r="K240" s="1"/>
      <c r="L240" s="1">
        <v>0</v>
      </c>
    </row>
    <row r="241" spans="1:16" s="4" customFormat="1" x14ac:dyDescent="0.25">
      <c r="A241" s="1">
        <f t="shared" si="8"/>
        <v>36</v>
      </c>
      <c r="B241" s="6">
        <v>45166</v>
      </c>
      <c r="C241" s="39">
        <f t="shared" si="9"/>
        <v>0</v>
      </c>
      <c r="D241" s="1">
        <v>0</v>
      </c>
      <c r="E241" s="1">
        <v>0</v>
      </c>
      <c r="F241" s="1">
        <v>0</v>
      </c>
      <c r="G241" s="1">
        <v>0</v>
      </c>
      <c r="H241" s="1">
        <v>0</v>
      </c>
      <c r="I241" s="1">
        <v>0</v>
      </c>
      <c r="J241" s="1">
        <v>0</v>
      </c>
      <c r="K241" s="1"/>
      <c r="L241" s="1">
        <v>0</v>
      </c>
    </row>
    <row r="242" spans="1:16" s="4" customFormat="1" x14ac:dyDescent="0.25">
      <c r="A242" s="1">
        <f t="shared" si="8"/>
        <v>36</v>
      </c>
      <c r="B242" s="6">
        <v>45167</v>
      </c>
      <c r="C242" s="39">
        <f t="shared" si="9"/>
        <v>0</v>
      </c>
      <c r="D242" s="1">
        <v>0</v>
      </c>
      <c r="E242" s="1">
        <v>0</v>
      </c>
      <c r="F242" s="1">
        <v>0</v>
      </c>
      <c r="G242" s="1">
        <v>0</v>
      </c>
      <c r="H242" s="1">
        <v>0</v>
      </c>
      <c r="I242" s="1">
        <v>0</v>
      </c>
      <c r="J242" s="1">
        <v>0</v>
      </c>
      <c r="K242" s="1"/>
      <c r="L242" s="1">
        <v>0</v>
      </c>
    </row>
    <row r="243" spans="1:16" s="4" customFormat="1" x14ac:dyDescent="0.25">
      <c r="A243" s="18"/>
      <c r="B243" s="6">
        <v>45168</v>
      </c>
      <c r="C243" s="39">
        <f t="shared" si="9"/>
        <v>0</v>
      </c>
      <c r="D243" s="1">
        <v>0</v>
      </c>
      <c r="E243" s="1">
        <v>0</v>
      </c>
      <c r="F243" s="1">
        <v>0</v>
      </c>
      <c r="G243" s="1">
        <v>0</v>
      </c>
      <c r="H243" s="1">
        <v>0</v>
      </c>
      <c r="I243" s="1">
        <v>0</v>
      </c>
      <c r="J243" s="1">
        <v>0</v>
      </c>
      <c r="K243" s="1"/>
      <c r="L243" s="1">
        <v>0</v>
      </c>
    </row>
    <row r="244" spans="1:16" s="25" customFormat="1" ht="15.75" thickBot="1" x14ac:dyDescent="0.3">
      <c r="A244" s="22">
        <f t="shared" si="8"/>
        <v>36</v>
      </c>
      <c r="B244" s="6">
        <v>45169</v>
      </c>
      <c r="C244" s="40">
        <f t="shared" si="9"/>
        <v>0</v>
      </c>
      <c r="D244" s="1">
        <v>0</v>
      </c>
      <c r="E244" s="1">
        <v>0</v>
      </c>
      <c r="F244" s="1">
        <v>0</v>
      </c>
      <c r="G244" s="1">
        <v>0</v>
      </c>
      <c r="H244" s="1">
        <v>0</v>
      </c>
      <c r="I244" s="1">
        <v>0</v>
      </c>
      <c r="J244" s="1">
        <v>0</v>
      </c>
      <c r="K244" s="1"/>
      <c r="L244" s="1">
        <v>0</v>
      </c>
      <c r="M244" s="24">
        <f>SUM(C214:C244)</f>
        <v>0</v>
      </c>
    </row>
    <row r="245" spans="1:16" s="4" customFormat="1" x14ac:dyDescent="0.25">
      <c r="A245" s="1">
        <f t="shared" si="8"/>
        <v>36</v>
      </c>
      <c r="B245" s="6">
        <v>45170</v>
      </c>
      <c r="C245" s="39">
        <f t="shared" si="9"/>
        <v>0</v>
      </c>
      <c r="D245" s="30">
        <v>0</v>
      </c>
      <c r="E245" s="30">
        <v>0</v>
      </c>
      <c r="F245" s="30">
        <v>0</v>
      </c>
      <c r="G245" s="30">
        <v>0</v>
      </c>
      <c r="H245" s="1">
        <v>0</v>
      </c>
      <c r="I245" s="30">
        <v>0</v>
      </c>
      <c r="J245" s="30">
        <v>0</v>
      </c>
      <c r="K245" s="30"/>
      <c r="L245" s="30">
        <v>0</v>
      </c>
    </row>
    <row r="246" spans="1:16" s="4" customFormat="1" x14ac:dyDescent="0.25">
      <c r="A246" s="1">
        <f t="shared" si="8"/>
        <v>36</v>
      </c>
      <c r="B246" s="6">
        <v>45171</v>
      </c>
      <c r="C246" s="39">
        <f t="shared" si="9"/>
        <v>0</v>
      </c>
      <c r="D246" s="30">
        <v>0</v>
      </c>
      <c r="E246" s="30">
        <v>0</v>
      </c>
      <c r="F246" s="30">
        <v>0</v>
      </c>
      <c r="G246" s="30">
        <v>0</v>
      </c>
      <c r="H246" s="1">
        <v>0</v>
      </c>
      <c r="I246" s="30">
        <v>0</v>
      </c>
      <c r="J246" s="30">
        <v>0</v>
      </c>
      <c r="K246" s="30"/>
      <c r="L246" s="30">
        <v>0</v>
      </c>
    </row>
    <row r="247" spans="1:16" s="4" customFormat="1" x14ac:dyDescent="0.25">
      <c r="A247" s="1">
        <f t="shared" si="8"/>
        <v>36</v>
      </c>
      <c r="B247" s="6">
        <v>45172</v>
      </c>
      <c r="C247" s="39">
        <f t="shared" si="9"/>
        <v>0</v>
      </c>
      <c r="D247" s="30">
        <v>0</v>
      </c>
      <c r="E247" s="30">
        <v>0</v>
      </c>
      <c r="F247" s="30">
        <v>0</v>
      </c>
      <c r="G247" s="30">
        <v>0</v>
      </c>
      <c r="H247" s="1">
        <v>0</v>
      </c>
      <c r="I247" s="30">
        <v>0</v>
      </c>
      <c r="J247" s="30">
        <v>0</v>
      </c>
      <c r="K247" s="30"/>
      <c r="L247" s="30">
        <v>0</v>
      </c>
    </row>
    <row r="248" spans="1:16" s="4" customFormat="1" x14ac:dyDescent="0.25">
      <c r="A248" s="1">
        <f t="shared" si="8"/>
        <v>37</v>
      </c>
      <c r="B248" s="6">
        <v>45173</v>
      </c>
      <c r="C248" s="39">
        <f t="shared" si="9"/>
        <v>0</v>
      </c>
      <c r="D248" s="30">
        <v>0</v>
      </c>
      <c r="E248" s="30">
        <v>0</v>
      </c>
      <c r="F248" s="30">
        <v>0</v>
      </c>
      <c r="G248" s="30">
        <v>0</v>
      </c>
      <c r="H248" s="1">
        <v>0</v>
      </c>
      <c r="I248" s="30">
        <v>0</v>
      </c>
      <c r="J248" s="30">
        <v>0</v>
      </c>
      <c r="K248" s="30"/>
      <c r="L248" s="30">
        <v>0</v>
      </c>
    </row>
    <row r="249" spans="1:16" s="4" customFormat="1" x14ac:dyDescent="0.25">
      <c r="A249" s="1">
        <f t="shared" si="8"/>
        <v>37</v>
      </c>
      <c r="B249" s="6">
        <v>45174</v>
      </c>
      <c r="C249" s="39">
        <f t="shared" si="9"/>
        <v>0</v>
      </c>
      <c r="D249" s="30">
        <v>0</v>
      </c>
      <c r="E249" s="30">
        <v>0</v>
      </c>
      <c r="F249" s="30">
        <v>0</v>
      </c>
      <c r="G249" s="30">
        <v>0</v>
      </c>
      <c r="H249" s="1">
        <v>0</v>
      </c>
      <c r="I249" s="30">
        <v>0</v>
      </c>
      <c r="J249" s="30">
        <v>0</v>
      </c>
      <c r="K249" s="30"/>
      <c r="L249" s="30">
        <v>0</v>
      </c>
    </row>
    <row r="250" spans="1:16" s="4" customFormat="1" x14ac:dyDescent="0.25">
      <c r="A250" s="1">
        <f t="shared" si="8"/>
        <v>37</v>
      </c>
      <c r="B250" s="6">
        <v>45175</v>
      </c>
      <c r="C250" s="39">
        <f t="shared" si="9"/>
        <v>0</v>
      </c>
      <c r="D250" s="30">
        <v>0</v>
      </c>
      <c r="E250" s="30">
        <v>0</v>
      </c>
      <c r="F250" s="30">
        <v>0</v>
      </c>
      <c r="G250" s="30">
        <v>0</v>
      </c>
      <c r="H250" s="1">
        <v>0</v>
      </c>
      <c r="I250" s="30">
        <v>0</v>
      </c>
      <c r="J250" s="30">
        <v>0</v>
      </c>
      <c r="K250" s="30"/>
      <c r="L250" s="30">
        <v>0</v>
      </c>
      <c r="P250" s="21"/>
    </row>
    <row r="251" spans="1:16" s="4" customFormat="1" x14ac:dyDescent="0.25">
      <c r="A251" s="1">
        <f t="shared" si="8"/>
        <v>37</v>
      </c>
      <c r="B251" s="6">
        <v>45176</v>
      </c>
      <c r="C251" s="39">
        <f t="shared" si="9"/>
        <v>0</v>
      </c>
      <c r="D251" s="30">
        <v>0</v>
      </c>
      <c r="E251" s="30">
        <v>0</v>
      </c>
      <c r="F251" s="30">
        <v>0</v>
      </c>
      <c r="G251" s="30">
        <v>0</v>
      </c>
      <c r="H251" s="1">
        <v>0</v>
      </c>
      <c r="I251" s="30">
        <v>0</v>
      </c>
      <c r="J251" s="30">
        <v>0</v>
      </c>
      <c r="K251" s="30"/>
      <c r="L251" s="30">
        <v>0</v>
      </c>
      <c r="M251" s="21"/>
    </row>
    <row r="252" spans="1:16" s="4" customFormat="1" x14ac:dyDescent="0.25">
      <c r="A252" s="1">
        <f t="shared" si="8"/>
        <v>37</v>
      </c>
      <c r="B252" s="6">
        <v>45177</v>
      </c>
      <c r="C252" s="39">
        <f t="shared" si="9"/>
        <v>0</v>
      </c>
      <c r="D252" s="30">
        <v>0</v>
      </c>
      <c r="E252" s="30">
        <v>0</v>
      </c>
      <c r="F252" s="30">
        <v>0</v>
      </c>
      <c r="G252" s="30">
        <v>0</v>
      </c>
      <c r="H252" s="1">
        <v>0</v>
      </c>
      <c r="I252" s="30">
        <v>0</v>
      </c>
      <c r="J252" s="30">
        <v>0</v>
      </c>
      <c r="K252" s="30"/>
      <c r="L252" s="30">
        <v>0</v>
      </c>
    </row>
    <row r="253" spans="1:16" s="4" customFormat="1" x14ac:dyDescent="0.25">
      <c r="A253" s="1">
        <f t="shared" si="8"/>
        <v>37</v>
      </c>
      <c r="B253" s="6">
        <v>45178</v>
      </c>
      <c r="C253" s="39">
        <f t="shared" si="9"/>
        <v>0</v>
      </c>
      <c r="D253" s="30">
        <v>0</v>
      </c>
      <c r="E253" s="30">
        <v>0</v>
      </c>
      <c r="F253" s="30">
        <v>0</v>
      </c>
      <c r="G253" s="30">
        <v>0</v>
      </c>
      <c r="H253" s="1">
        <v>0</v>
      </c>
      <c r="I253" s="30">
        <v>0</v>
      </c>
      <c r="J253" s="1">
        <v>0</v>
      </c>
      <c r="K253" s="1"/>
      <c r="L253" s="30">
        <v>0</v>
      </c>
    </row>
    <row r="254" spans="1:16" s="4" customFormat="1" x14ac:dyDescent="0.25">
      <c r="A254" s="1">
        <f t="shared" si="8"/>
        <v>37</v>
      </c>
      <c r="B254" s="6">
        <v>45179</v>
      </c>
      <c r="C254" s="39">
        <f t="shared" si="9"/>
        <v>0</v>
      </c>
      <c r="D254" s="30">
        <v>0</v>
      </c>
      <c r="E254" s="30">
        <v>0</v>
      </c>
      <c r="F254" s="30">
        <v>0</v>
      </c>
      <c r="G254" s="30">
        <v>0</v>
      </c>
      <c r="H254" s="1">
        <v>0</v>
      </c>
      <c r="I254" s="30">
        <v>0</v>
      </c>
      <c r="J254" s="1">
        <v>0</v>
      </c>
      <c r="K254" s="1"/>
      <c r="L254" s="30">
        <v>0</v>
      </c>
    </row>
    <row r="255" spans="1:16" s="4" customFormat="1" x14ac:dyDescent="0.25">
      <c r="A255" s="1">
        <f t="shared" si="8"/>
        <v>38</v>
      </c>
      <c r="B255" s="6">
        <v>45180</v>
      </c>
      <c r="C255" s="39">
        <f t="shared" si="9"/>
        <v>0</v>
      </c>
      <c r="D255" s="30">
        <v>0</v>
      </c>
      <c r="E255" s="30">
        <v>0</v>
      </c>
      <c r="F255" s="30">
        <v>0</v>
      </c>
      <c r="G255" s="30">
        <v>0</v>
      </c>
      <c r="H255" s="1">
        <v>0</v>
      </c>
      <c r="I255" s="30">
        <v>0</v>
      </c>
      <c r="J255" s="1">
        <v>0</v>
      </c>
      <c r="K255" s="1"/>
      <c r="L255" s="30">
        <v>0</v>
      </c>
    </row>
    <row r="256" spans="1:16" s="4" customFormat="1" x14ac:dyDescent="0.25">
      <c r="A256" s="1">
        <f t="shared" si="8"/>
        <v>38</v>
      </c>
      <c r="B256" s="6">
        <v>45181</v>
      </c>
      <c r="C256" s="39">
        <f t="shared" si="9"/>
        <v>0</v>
      </c>
      <c r="D256" s="30">
        <v>0</v>
      </c>
      <c r="E256" s="30">
        <v>0</v>
      </c>
      <c r="F256" s="30">
        <v>0</v>
      </c>
      <c r="G256" s="30">
        <v>0</v>
      </c>
      <c r="H256" s="1">
        <v>0</v>
      </c>
      <c r="I256" s="30">
        <v>0</v>
      </c>
      <c r="J256" s="1">
        <v>0</v>
      </c>
      <c r="K256" s="1"/>
      <c r="L256" s="30">
        <v>0</v>
      </c>
    </row>
    <row r="257" spans="1:12" s="4" customFormat="1" x14ac:dyDescent="0.25">
      <c r="A257" s="1">
        <f t="shared" si="8"/>
        <v>38</v>
      </c>
      <c r="B257" s="6">
        <v>45182</v>
      </c>
      <c r="C257" s="39">
        <f t="shared" si="9"/>
        <v>0</v>
      </c>
      <c r="D257" s="30">
        <v>0</v>
      </c>
      <c r="E257" s="30">
        <v>0</v>
      </c>
      <c r="F257" s="30">
        <v>0</v>
      </c>
      <c r="G257" s="30">
        <v>0</v>
      </c>
      <c r="H257" s="1">
        <v>0</v>
      </c>
      <c r="I257" s="30">
        <v>0</v>
      </c>
      <c r="J257" s="1">
        <v>0</v>
      </c>
      <c r="K257" s="1"/>
      <c r="L257" s="30">
        <v>0</v>
      </c>
    </row>
    <row r="258" spans="1:12" s="4" customFormat="1" x14ac:dyDescent="0.25">
      <c r="A258" s="1">
        <f t="shared" si="8"/>
        <v>38</v>
      </c>
      <c r="B258" s="6">
        <v>45183</v>
      </c>
      <c r="C258" s="39">
        <f t="shared" si="9"/>
        <v>0</v>
      </c>
      <c r="D258" s="30">
        <v>0</v>
      </c>
      <c r="E258" s="30">
        <v>0</v>
      </c>
      <c r="F258" s="30">
        <v>0</v>
      </c>
      <c r="G258" s="30">
        <v>0</v>
      </c>
      <c r="H258" s="1">
        <v>0</v>
      </c>
      <c r="I258" s="30">
        <v>0</v>
      </c>
      <c r="J258" s="1">
        <v>0</v>
      </c>
      <c r="K258" s="1"/>
      <c r="L258" s="30">
        <v>0</v>
      </c>
    </row>
    <row r="259" spans="1:12" s="4" customFormat="1" x14ac:dyDescent="0.25">
      <c r="A259" s="1">
        <f t="shared" ref="A259:A322" si="10">WEEKNUM($B259,2)</f>
        <v>38</v>
      </c>
      <c r="B259" s="6">
        <v>45184</v>
      </c>
      <c r="C259" s="39">
        <f t="shared" ref="C259:C322" si="11">AVERAGE(D259:L259)</f>
        <v>0</v>
      </c>
      <c r="D259" s="30">
        <v>0</v>
      </c>
      <c r="E259" s="30">
        <v>0</v>
      </c>
      <c r="F259" s="30">
        <v>0</v>
      </c>
      <c r="G259" s="30">
        <v>0</v>
      </c>
      <c r="H259" s="1">
        <v>0</v>
      </c>
      <c r="I259" s="30">
        <v>0</v>
      </c>
      <c r="J259" s="1">
        <v>0</v>
      </c>
      <c r="K259" s="1"/>
      <c r="L259" s="30">
        <v>0</v>
      </c>
    </row>
    <row r="260" spans="1:12" s="4" customFormat="1" x14ac:dyDescent="0.25">
      <c r="A260" s="1">
        <f t="shared" si="10"/>
        <v>38</v>
      </c>
      <c r="B260" s="6">
        <v>45185</v>
      </c>
      <c r="C260" s="39">
        <f t="shared" si="11"/>
        <v>0</v>
      </c>
      <c r="D260" s="30">
        <v>0</v>
      </c>
      <c r="E260" s="30">
        <v>0</v>
      </c>
      <c r="F260" s="30">
        <v>0</v>
      </c>
      <c r="G260" s="30">
        <v>0</v>
      </c>
      <c r="H260" s="1">
        <v>0</v>
      </c>
      <c r="I260" s="30">
        <v>0</v>
      </c>
      <c r="J260" s="1">
        <v>0</v>
      </c>
      <c r="K260" s="1"/>
      <c r="L260" s="30">
        <v>0</v>
      </c>
    </row>
    <row r="261" spans="1:12" s="4" customFormat="1" x14ac:dyDescent="0.25">
      <c r="A261" s="1">
        <f t="shared" si="10"/>
        <v>38</v>
      </c>
      <c r="B261" s="6">
        <v>45186</v>
      </c>
      <c r="C261" s="39">
        <f t="shared" si="11"/>
        <v>0</v>
      </c>
      <c r="D261" s="30">
        <v>0</v>
      </c>
      <c r="E261" s="30">
        <v>0</v>
      </c>
      <c r="F261" s="30">
        <v>0</v>
      </c>
      <c r="G261" s="30">
        <v>0</v>
      </c>
      <c r="H261" s="1">
        <v>0</v>
      </c>
      <c r="I261" s="30">
        <v>0</v>
      </c>
      <c r="J261" s="1">
        <v>0</v>
      </c>
      <c r="K261" s="1"/>
      <c r="L261" s="30">
        <v>0</v>
      </c>
    </row>
    <row r="262" spans="1:12" s="4" customFormat="1" x14ac:dyDescent="0.25">
      <c r="A262" s="1">
        <f t="shared" si="10"/>
        <v>39</v>
      </c>
      <c r="B262" s="6">
        <v>45187</v>
      </c>
      <c r="C262" s="39">
        <f t="shared" si="11"/>
        <v>0</v>
      </c>
      <c r="D262" s="30">
        <v>0</v>
      </c>
      <c r="E262" s="30">
        <v>0</v>
      </c>
      <c r="F262" s="30">
        <v>0</v>
      </c>
      <c r="G262" s="30">
        <v>0</v>
      </c>
      <c r="H262" s="1">
        <v>0</v>
      </c>
      <c r="I262" s="30">
        <v>0</v>
      </c>
      <c r="J262" s="30">
        <v>0</v>
      </c>
      <c r="K262" s="30"/>
      <c r="L262" s="30">
        <v>0</v>
      </c>
    </row>
    <row r="263" spans="1:12" s="4" customFormat="1" x14ac:dyDescent="0.25">
      <c r="A263" s="1">
        <f t="shared" si="10"/>
        <v>39</v>
      </c>
      <c r="B263" s="6">
        <v>45188</v>
      </c>
      <c r="C263" s="39">
        <f t="shared" si="11"/>
        <v>0</v>
      </c>
      <c r="D263" s="30">
        <v>0</v>
      </c>
      <c r="E263" s="30">
        <v>0</v>
      </c>
      <c r="F263" s="30">
        <v>0</v>
      </c>
      <c r="G263" s="30">
        <v>0</v>
      </c>
      <c r="H263" s="1">
        <v>0</v>
      </c>
      <c r="I263" s="30">
        <v>0</v>
      </c>
      <c r="J263" s="30">
        <v>0</v>
      </c>
      <c r="K263" s="30"/>
      <c r="L263" s="30">
        <v>0</v>
      </c>
    </row>
    <row r="264" spans="1:12" s="4" customFormat="1" x14ac:dyDescent="0.25">
      <c r="A264" s="1">
        <f t="shared" si="10"/>
        <v>39</v>
      </c>
      <c r="B264" s="6">
        <v>45189</v>
      </c>
      <c r="C264" s="39">
        <f t="shared" si="11"/>
        <v>0</v>
      </c>
      <c r="D264" s="30">
        <v>0</v>
      </c>
      <c r="E264" s="30">
        <v>0</v>
      </c>
      <c r="F264" s="30">
        <v>0</v>
      </c>
      <c r="G264" s="30">
        <v>0</v>
      </c>
      <c r="H264" s="1">
        <v>0</v>
      </c>
      <c r="I264" s="30">
        <v>0</v>
      </c>
      <c r="J264" s="30">
        <v>0</v>
      </c>
      <c r="K264" s="30"/>
      <c r="L264" s="30">
        <v>0</v>
      </c>
    </row>
    <row r="265" spans="1:12" s="4" customFormat="1" x14ac:dyDescent="0.25">
      <c r="A265" s="1">
        <f t="shared" si="10"/>
        <v>39</v>
      </c>
      <c r="B265" s="6">
        <v>45190</v>
      </c>
      <c r="C265" s="39">
        <f t="shared" si="11"/>
        <v>0</v>
      </c>
      <c r="D265" s="30">
        <v>0</v>
      </c>
      <c r="E265" s="30">
        <v>0</v>
      </c>
      <c r="F265" s="30">
        <v>0</v>
      </c>
      <c r="G265" s="30">
        <v>0</v>
      </c>
      <c r="H265" s="1">
        <v>0</v>
      </c>
      <c r="I265" s="30">
        <v>0</v>
      </c>
      <c r="J265" s="30">
        <v>0</v>
      </c>
      <c r="K265" s="30"/>
      <c r="L265" s="30">
        <v>0</v>
      </c>
    </row>
    <row r="266" spans="1:12" s="4" customFormat="1" x14ac:dyDescent="0.25">
      <c r="A266" s="1">
        <f t="shared" si="10"/>
        <v>39</v>
      </c>
      <c r="B266" s="6">
        <v>45191</v>
      </c>
      <c r="C266" s="39">
        <f t="shared" si="11"/>
        <v>0</v>
      </c>
      <c r="D266" s="30">
        <v>0</v>
      </c>
      <c r="E266" s="30">
        <v>0</v>
      </c>
      <c r="F266" s="30">
        <v>0</v>
      </c>
      <c r="G266" s="30">
        <v>0</v>
      </c>
      <c r="H266" s="1">
        <v>0</v>
      </c>
      <c r="I266" s="30">
        <v>0</v>
      </c>
      <c r="J266" s="30">
        <v>0</v>
      </c>
      <c r="K266" s="30"/>
      <c r="L266" s="30">
        <v>0</v>
      </c>
    </row>
    <row r="267" spans="1:12" s="4" customFormat="1" x14ac:dyDescent="0.25">
      <c r="A267" s="1">
        <f t="shared" si="10"/>
        <v>39</v>
      </c>
      <c r="B267" s="6">
        <v>45192</v>
      </c>
      <c r="C267" s="39">
        <f t="shared" si="11"/>
        <v>0</v>
      </c>
      <c r="D267" s="30">
        <v>0</v>
      </c>
      <c r="E267" s="30">
        <v>0</v>
      </c>
      <c r="F267" s="30">
        <v>0</v>
      </c>
      <c r="G267" s="30">
        <v>0</v>
      </c>
      <c r="H267" s="1">
        <v>0</v>
      </c>
      <c r="I267" s="30">
        <v>0</v>
      </c>
      <c r="J267" s="30">
        <v>0</v>
      </c>
      <c r="K267" s="30"/>
      <c r="L267" s="30">
        <v>0</v>
      </c>
    </row>
    <row r="268" spans="1:12" s="4" customFormat="1" x14ac:dyDescent="0.25">
      <c r="A268" s="1">
        <f t="shared" si="10"/>
        <v>39</v>
      </c>
      <c r="B268" s="6">
        <v>45193</v>
      </c>
      <c r="C268" s="39">
        <f t="shared" si="11"/>
        <v>0</v>
      </c>
      <c r="D268" s="30">
        <v>0</v>
      </c>
      <c r="E268" s="30">
        <v>0</v>
      </c>
      <c r="F268" s="30">
        <v>0</v>
      </c>
      <c r="G268" s="30">
        <v>0</v>
      </c>
      <c r="H268" s="1">
        <v>0</v>
      </c>
      <c r="I268" s="30">
        <v>0</v>
      </c>
      <c r="J268" s="30">
        <v>0</v>
      </c>
      <c r="K268" s="30"/>
      <c r="L268" s="30">
        <v>0</v>
      </c>
    </row>
    <row r="269" spans="1:12" s="4" customFormat="1" x14ac:dyDescent="0.25">
      <c r="A269" s="1">
        <f t="shared" si="10"/>
        <v>40</v>
      </c>
      <c r="B269" s="6">
        <v>45194</v>
      </c>
      <c r="C269" s="39">
        <f t="shared" si="11"/>
        <v>0</v>
      </c>
      <c r="D269" s="30">
        <v>0</v>
      </c>
      <c r="E269" s="30">
        <v>0</v>
      </c>
      <c r="F269" s="30">
        <v>0</v>
      </c>
      <c r="G269" s="30">
        <v>0</v>
      </c>
      <c r="H269" s="1">
        <v>0</v>
      </c>
      <c r="I269" s="30">
        <v>0</v>
      </c>
      <c r="J269" s="30">
        <v>0</v>
      </c>
      <c r="K269" s="30"/>
      <c r="L269" s="30">
        <v>0</v>
      </c>
    </row>
    <row r="270" spans="1:12" s="4" customFormat="1" ht="15.75" x14ac:dyDescent="0.25">
      <c r="A270" s="1">
        <f t="shared" si="10"/>
        <v>40</v>
      </c>
      <c r="B270" s="6">
        <v>45195</v>
      </c>
      <c r="C270" s="39">
        <f t="shared" si="11"/>
        <v>0</v>
      </c>
      <c r="D270" s="36">
        <v>0</v>
      </c>
      <c r="E270" s="36">
        <v>0</v>
      </c>
      <c r="F270" s="36">
        <v>0</v>
      </c>
      <c r="G270" s="36">
        <v>0</v>
      </c>
      <c r="H270" s="1">
        <v>0</v>
      </c>
      <c r="I270" s="36">
        <v>0</v>
      </c>
      <c r="J270" s="36">
        <v>0</v>
      </c>
      <c r="K270" s="36"/>
      <c r="L270" s="36">
        <v>0</v>
      </c>
    </row>
    <row r="271" spans="1:12" s="4" customFormat="1" ht="15.75" x14ac:dyDescent="0.25">
      <c r="A271" s="1">
        <f t="shared" si="10"/>
        <v>40</v>
      </c>
      <c r="B271" s="6">
        <v>45196</v>
      </c>
      <c r="C271" s="39">
        <f t="shared" si="11"/>
        <v>0</v>
      </c>
      <c r="D271" s="36">
        <v>0</v>
      </c>
      <c r="E271" s="36">
        <v>0</v>
      </c>
      <c r="F271" s="36">
        <v>0</v>
      </c>
      <c r="G271" s="36">
        <v>0</v>
      </c>
      <c r="H271" s="1">
        <v>0</v>
      </c>
      <c r="I271" s="36">
        <v>0</v>
      </c>
      <c r="J271" s="36">
        <v>0</v>
      </c>
      <c r="K271" s="36"/>
      <c r="L271" s="36">
        <v>0</v>
      </c>
    </row>
    <row r="272" spans="1:12" s="4" customFormat="1" x14ac:dyDescent="0.25">
      <c r="A272" s="1">
        <f t="shared" si="10"/>
        <v>40</v>
      </c>
      <c r="B272" s="6">
        <v>45197</v>
      </c>
      <c r="C272" s="39">
        <f t="shared" si="11"/>
        <v>0</v>
      </c>
      <c r="D272" s="1">
        <v>0</v>
      </c>
      <c r="E272" s="1">
        <v>0</v>
      </c>
      <c r="F272" s="1">
        <v>0</v>
      </c>
      <c r="G272" s="1">
        <v>0</v>
      </c>
      <c r="H272" s="1">
        <v>0</v>
      </c>
      <c r="I272" s="1">
        <v>0</v>
      </c>
      <c r="J272" s="1">
        <v>0</v>
      </c>
      <c r="K272" s="1"/>
      <c r="L272" s="1">
        <v>0</v>
      </c>
    </row>
    <row r="273" spans="1:14" s="4" customFormat="1" x14ac:dyDescent="0.25">
      <c r="A273" s="18"/>
      <c r="B273" s="6">
        <v>45198</v>
      </c>
      <c r="C273" s="39">
        <f t="shared" si="11"/>
        <v>0</v>
      </c>
      <c r="D273" s="1">
        <v>0</v>
      </c>
      <c r="E273" s="1">
        <v>0</v>
      </c>
      <c r="F273" s="1">
        <v>0</v>
      </c>
      <c r="G273" s="1">
        <v>0</v>
      </c>
      <c r="H273" s="1">
        <v>0</v>
      </c>
      <c r="I273" s="1">
        <v>0</v>
      </c>
      <c r="J273" s="1">
        <v>0</v>
      </c>
      <c r="K273" s="1"/>
      <c r="L273" s="1">
        <v>0</v>
      </c>
    </row>
    <row r="274" spans="1:14" s="25" customFormat="1" ht="15.75" thickBot="1" x14ac:dyDescent="0.3">
      <c r="A274" s="22">
        <f t="shared" si="10"/>
        <v>40</v>
      </c>
      <c r="B274" s="6">
        <v>45199</v>
      </c>
      <c r="C274" s="40">
        <f t="shared" si="11"/>
        <v>0</v>
      </c>
      <c r="D274" s="1">
        <v>0</v>
      </c>
      <c r="E274" s="1">
        <v>0</v>
      </c>
      <c r="F274" s="1">
        <v>0</v>
      </c>
      <c r="G274" s="1">
        <v>0</v>
      </c>
      <c r="H274" s="1">
        <v>0</v>
      </c>
      <c r="I274" s="1">
        <v>0</v>
      </c>
      <c r="J274" s="1">
        <v>0</v>
      </c>
      <c r="K274" s="1"/>
      <c r="L274" s="1">
        <v>0</v>
      </c>
      <c r="M274" s="24">
        <f>SUM(C245:C274)</f>
        <v>0</v>
      </c>
      <c r="N274" s="31"/>
    </row>
    <row r="275" spans="1:14" s="4" customFormat="1" ht="15.75" x14ac:dyDescent="0.25">
      <c r="A275" s="1">
        <f t="shared" si="10"/>
        <v>40</v>
      </c>
      <c r="B275" s="6">
        <v>45200</v>
      </c>
      <c r="C275" s="39">
        <f t="shared" si="11"/>
        <v>0</v>
      </c>
      <c r="D275" s="36">
        <v>0</v>
      </c>
      <c r="E275" s="36">
        <v>0</v>
      </c>
      <c r="F275" s="36">
        <v>0</v>
      </c>
      <c r="G275" s="36">
        <v>0</v>
      </c>
      <c r="H275" s="36">
        <v>0</v>
      </c>
      <c r="I275" s="36">
        <v>0</v>
      </c>
      <c r="J275" s="36">
        <v>0</v>
      </c>
      <c r="K275" s="36"/>
      <c r="L275" s="36">
        <v>0</v>
      </c>
    </row>
    <row r="276" spans="1:14" s="4" customFormat="1" ht="15.75" x14ac:dyDescent="0.25">
      <c r="A276" s="1">
        <f t="shared" si="10"/>
        <v>41</v>
      </c>
      <c r="B276" s="6">
        <v>45201</v>
      </c>
      <c r="C276" s="39">
        <f t="shared" si="11"/>
        <v>0</v>
      </c>
      <c r="D276" s="36">
        <v>0</v>
      </c>
      <c r="E276" s="36">
        <v>0</v>
      </c>
      <c r="F276" s="36">
        <v>0</v>
      </c>
      <c r="G276" s="36">
        <v>0</v>
      </c>
      <c r="H276" s="36">
        <v>0</v>
      </c>
      <c r="I276" s="36">
        <v>0</v>
      </c>
      <c r="J276" s="36">
        <v>0</v>
      </c>
      <c r="K276" s="36"/>
      <c r="L276" s="36">
        <v>0</v>
      </c>
    </row>
    <row r="277" spans="1:14" s="4" customFormat="1" ht="15.75" x14ac:dyDescent="0.25">
      <c r="A277" s="1">
        <f t="shared" si="10"/>
        <v>41</v>
      </c>
      <c r="B277" s="6">
        <v>45202</v>
      </c>
      <c r="C277" s="39">
        <f t="shared" si="11"/>
        <v>0</v>
      </c>
      <c r="D277" s="36">
        <v>0</v>
      </c>
      <c r="E277" s="36">
        <v>0</v>
      </c>
      <c r="F277" s="36">
        <v>0</v>
      </c>
      <c r="G277" s="36">
        <v>0</v>
      </c>
      <c r="H277" s="36">
        <v>0</v>
      </c>
      <c r="I277" s="36">
        <v>0</v>
      </c>
      <c r="J277" s="36">
        <v>0</v>
      </c>
      <c r="K277" s="36"/>
      <c r="L277" s="36">
        <v>0</v>
      </c>
    </row>
    <row r="278" spans="1:14" s="4" customFormat="1" ht="15.75" x14ac:dyDescent="0.25">
      <c r="A278" s="1">
        <f t="shared" si="10"/>
        <v>41</v>
      </c>
      <c r="B278" s="6">
        <v>45203</v>
      </c>
      <c r="C278" s="39">
        <f t="shared" si="11"/>
        <v>0</v>
      </c>
      <c r="D278" s="36">
        <v>0</v>
      </c>
      <c r="E278" s="36">
        <v>0</v>
      </c>
      <c r="F278" s="36">
        <v>0</v>
      </c>
      <c r="G278" s="36">
        <v>0</v>
      </c>
      <c r="H278" s="36">
        <v>0</v>
      </c>
      <c r="I278" s="36">
        <v>0</v>
      </c>
      <c r="J278" s="36">
        <v>0</v>
      </c>
      <c r="K278" s="36"/>
      <c r="L278" s="36">
        <v>0</v>
      </c>
    </row>
    <row r="279" spans="1:14" s="4" customFormat="1" ht="15.75" x14ac:dyDescent="0.25">
      <c r="A279" s="1">
        <f t="shared" si="10"/>
        <v>41</v>
      </c>
      <c r="B279" s="6">
        <v>45204</v>
      </c>
      <c r="C279" s="39">
        <f t="shared" si="11"/>
        <v>0</v>
      </c>
      <c r="D279" s="36">
        <v>0</v>
      </c>
      <c r="E279" s="36">
        <v>0</v>
      </c>
      <c r="F279" s="36">
        <v>0</v>
      </c>
      <c r="G279" s="36">
        <v>0</v>
      </c>
      <c r="H279" s="36">
        <v>0</v>
      </c>
      <c r="I279" s="36">
        <v>0</v>
      </c>
      <c r="J279" s="36">
        <v>0</v>
      </c>
      <c r="K279" s="36"/>
      <c r="L279" s="36">
        <v>0</v>
      </c>
    </row>
    <row r="280" spans="1:14" s="4" customFormat="1" ht="15.75" x14ac:dyDescent="0.25">
      <c r="A280" s="1">
        <f t="shared" si="10"/>
        <v>41</v>
      </c>
      <c r="B280" s="6">
        <v>45205</v>
      </c>
      <c r="C280" s="39">
        <f t="shared" si="11"/>
        <v>0</v>
      </c>
      <c r="D280" s="36">
        <v>0</v>
      </c>
      <c r="E280" s="36">
        <v>0</v>
      </c>
      <c r="F280" s="36">
        <v>0</v>
      </c>
      <c r="G280" s="36">
        <v>0</v>
      </c>
      <c r="H280" s="36">
        <v>0</v>
      </c>
      <c r="I280" s="36">
        <v>0</v>
      </c>
      <c r="J280" s="36">
        <v>0</v>
      </c>
      <c r="K280" s="36"/>
      <c r="L280" s="36">
        <v>0</v>
      </c>
    </row>
    <row r="281" spans="1:14" s="4" customFormat="1" ht="15.75" x14ac:dyDescent="0.25">
      <c r="A281" s="1">
        <f t="shared" si="10"/>
        <v>41</v>
      </c>
      <c r="B281" s="6">
        <v>45206</v>
      </c>
      <c r="C281" s="39">
        <f t="shared" si="11"/>
        <v>0</v>
      </c>
      <c r="D281" s="36">
        <v>0</v>
      </c>
      <c r="E281" s="36">
        <v>0</v>
      </c>
      <c r="F281" s="36">
        <v>0</v>
      </c>
      <c r="G281" s="36">
        <v>0</v>
      </c>
      <c r="H281" s="36">
        <v>0</v>
      </c>
      <c r="I281" s="36">
        <v>0</v>
      </c>
      <c r="J281" s="36">
        <v>0</v>
      </c>
      <c r="K281" s="36"/>
      <c r="L281" s="36">
        <v>0</v>
      </c>
    </row>
    <row r="282" spans="1:14" s="4" customFormat="1" ht="15.75" x14ac:dyDescent="0.25">
      <c r="A282" s="1">
        <f t="shared" si="10"/>
        <v>41</v>
      </c>
      <c r="B282" s="6">
        <v>45207</v>
      </c>
      <c r="C282" s="39">
        <f t="shared" si="11"/>
        <v>0</v>
      </c>
      <c r="D282" s="36">
        <v>0</v>
      </c>
      <c r="E282" s="36">
        <v>0</v>
      </c>
      <c r="F282" s="36">
        <v>0</v>
      </c>
      <c r="G282" s="36">
        <v>0</v>
      </c>
      <c r="H282" s="36">
        <v>0</v>
      </c>
      <c r="I282" s="36">
        <v>0</v>
      </c>
      <c r="J282" s="36">
        <v>0</v>
      </c>
      <c r="K282" s="36"/>
      <c r="L282" s="36">
        <v>0</v>
      </c>
    </row>
    <row r="283" spans="1:14" s="4" customFormat="1" ht="15.75" x14ac:dyDescent="0.25">
      <c r="A283" s="1">
        <f t="shared" si="10"/>
        <v>42</v>
      </c>
      <c r="B283" s="6">
        <v>45208</v>
      </c>
      <c r="C283" s="39">
        <f t="shared" si="11"/>
        <v>0</v>
      </c>
      <c r="D283" s="36">
        <v>0</v>
      </c>
      <c r="E283" s="36">
        <v>0</v>
      </c>
      <c r="F283" s="36">
        <v>0</v>
      </c>
      <c r="G283" s="36">
        <v>0</v>
      </c>
      <c r="H283" s="36">
        <v>0</v>
      </c>
      <c r="I283" s="36">
        <v>0</v>
      </c>
      <c r="J283" s="36">
        <v>0</v>
      </c>
      <c r="K283" s="36"/>
      <c r="L283" s="36">
        <v>0</v>
      </c>
    </row>
    <row r="284" spans="1:14" s="4" customFormat="1" ht="15.75" x14ac:dyDescent="0.25">
      <c r="A284" s="1">
        <f t="shared" si="10"/>
        <v>42</v>
      </c>
      <c r="B284" s="6">
        <v>45209</v>
      </c>
      <c r="C284" s="39">
        <f t="shared" si="11"/>
        <v>0</v>
      </c>
      <c r="D284" s="36">
        <v>0</v>
      </c>
      <c r="E284" s="36">
        <v>0</v>
      </c>
      <c r="F284" s="36">
        <v>0</v>
      </c>
      <c r="G284" s="36">
        <v>0</v>
      </c>
      <c r="H284" s="36">
        <v>0</v>
      </c>
      <c r="I284" s="36">
        <v>0</v>
      </c>
      <c r="J284" s="36">
        <v>0</v>
      </c>
      <c r="K284" s="36"/>
      <c r="L284" s="36">
        <v>0</v>
      </c>
    </row>
    <row r="285" spans="1:14" s="4" customFormat="1" ht="15.75" x14ac:dyDescent="0.25">
      <c r="A285" s="1">
        <f t="shared" si="10"/>
        <v>42</v>
      </c>
      <c r="B285" s="6">
        <v>45210</v>
      </c>
      <c r="C285" s="39">
        <f t="shared" si="11"/>
        <v>0</v>
      </c>
      <c r="D285" s="36">
        <v>0</v>
      </c>
      <c r="E285" s="36">
        <v>0</v>
      </c>
      <c r="F285" s="36">
        <v>0</v>
      </c>
      <c r="G285" s="36">
        <v>0</v>
      </c>
      <c r="H285" s="36">
        <v>0</v>
      </c>
      <c r="I285" s="36">
        <v>0</v>
      </c>
      <c r="J285" s="36">
        <v>0</v>
      </c>
      <c r="K285" s="36"/>
      <c r="L285" s="36">
        <v>0</v>
      </c>
    </row>
    <row r="286" spans="1:14" s="4" customFormat="1" ht="15.75" x14ac:dyDescent="0.25">
      <c r="A286" s="1">
        <f t="shared" si="10"/>
        <v>42</v>
      </c>
      <c r="B286" s="6">
        <v>45211</v>
      </c>
      <c r="C286" s="39">
        <f t="shared" si="11"/>
        <v>0</v>
      </c>
      <c r="D286" s="36">
        <v>0</v>
      </c>
      <c r="E286" s="36">
        <v>0</v>
      </c>
      <c r="F286" s="36">
        <v>0</v>
      </c>
      <c r="G286" s="36">
        <v>0</v>
      </c>
      <c r="H286" s="36">
        <v>0</v>
      </c>
      <c r="I286" s="36">
        <v>0</v>
      </c>
      <c r="J286" s="36">
        <v>0</v>
      </c>
      <c r="K286" s="36"/>
      <c r="L286" s="36">
        <v>0</v>
      </c>
    </row>
    <row r="287" spans="1:14" s="4" customFormat="1" ht="15.75" x14ac:dyDescent="0.25">
      <c r="A287" s="1">
        <f t="shared" si="10"/>
        <v>42</v>
      </c>
      <c r="B287" s="6">
        <v>45212</v>
      </c>
      <c r="C287" s="39">
        <f t="shared" si="11"/>
        <v>0</v>
      </c>
      <c r="D287" s="36">
        <v>0</v>
      </c>
      <c r="E287" s="36">
        <v>0</v>
      </c>
      <c r="F287" s="36">
        <v>0</v>
      </c>
      <c r="G287" s="36">
        <v>0</v>
      </c>
      <c r="H287" s="36">
        <v>0</v>
      </c>
      <c r="I287" s="36">
        <v>0</v>
      </c>
      <c r="J287" s="36">
        <v>0</v>
      </c>
      <c r="K287" s="36"/>
      <c r="L287" s="36">
        <v>0</v>
      </c>
    </row>
    <row r="288" spans="1:14" s="4" customFormat="1" ht="15.75" x14ac:dyDescent="0.25">
      <c r="A288" s="1">
        <f t="shared" si="10"/>
        <v>42</v>
      </c>
      <c r="B288" s="6">
        <v>45213</v>
      </c>
      <c r="C288" s="39">
        <f t="shared" si="11"/>
        <v>0</v>
      </c>
      <c r="D288" s="36">
        <v>0</v>
      </c>
      <c r="E288" s="36">
        <v>0</v>
      </c>
      <c r="F288" s="36">
        <v>0</v>
      </c>
      <c r="G288" s="36">
        <v>0</v>
      </c>
      <c r="H288" s="37">
        <v>0</v>
      </c>
      <c r="I288" s="36">
        <v>0</v>
      </c>
      <c r="J288" s="36">
        <v>0</v>
      </c>
      <c r="K288" s="36"/>
      <c r="L288" s="36">
        <v>0</v>
      </c>
    </row>
    <row r="289" spans="1:28" s="4" customFormat="1" x14ac:dyDescent="0.25">
      <c r="A289" s="1">
        <f t="shared" si="10"/>
        <v>42</v>
      </c>
      <c r="B289" s="6">
        <v>45214</v>
      </c>
      <c r="C289" s="39">
        <f t="shared" si="11"/>
        <v>0</v>
      </c>
      <c r="D289" s="1">
        <v>0</v>
      </c>
      <c r="E289" s="1">
        <v>0</v>
      </c>
      <c r="F289" s="1">
        <v>0</v>
      </c>
      <c r="G289" s="1">
        <v>0</v>
      </c>
      <c r="H289" s="1">
        <v>0</v>
      </c>
      <c r="I289" s="1">
        <v>0</v>
      </c>
      <c r="J289" s="1">
        <v>0</v>
      </c>
      <c r="K289" s="1"/>
      <c r="L289" s="1">
        <v>0</v>
      </c>
    </row>
    <row r="290" spans="1:28" s="4" customFormat="1" x14ac:dyDescent="0.25">
      <c r="A290" s="1">
        <f t="shared" si="10"/>
        <v>43</v>
      </c>
      <c r="B290" s="6">
        <v>45215</v>
      </c>
      <c r="C290" s="39">
        <f t="shared" si="11"/>
        <v>0</v>
      </c>
      <c r="D290" s="1">
        <v>0</v>
      </c>
      <c r="E290" s="1">
        <v>0</v>
      </c>
      <c r="F290" s="1">
        <v>0</v>
      </c>
      <c r="G290" s="1">
        <v>0</v>
      </c>
      <c r="H290" s="1">
        <v>0</v>
      </c>
      <c r="I290" s="1">
        <v>0</v>
      </c>
      <c r="J290" s="1">
        <v>0</v>
      </c>
      <c r="K290" s="1"/>
      <c r="L290" s="1">
        <v>0</v>
      </c>
    </row>
    <row r="291" spans="1:28" s="4" customFormat="1" x14ac:dyDescent="0.25">
      <c r="A291" s="1">
        <f t="shared" si="10"/>
        <v>43</v>
      </c>
      <c r="B291" s="6">
        <v>45216</v>
      </c>
      <c r="C291" s="39">
        <f t="shared" si="11"/>
        <v>0</v>
      </c>
      <c r="D291" s="1">
        <v>0</v>
      </c>
      <c r="E291" s="1">
        <v>0</v>
      </c>
      <c r="F291" s="1">
        <v>0</v>
      </c>
      <c r="G291" s="1">
        <v>0</v>
      </c>
      <c r="H291" s="1">
        <v>0</v>
      </c>
      <c r="I291" s="1">
        <v>0</v>
      </c>
      <c r="J291" s="1">
        <v>0</v>
      </c>
      <c r="K291" s="1"/>
      <c r="L291" s="1">
        <v>0</v>
      </c>
    </row>
    <row r="292" spans="1:28" s="4" customFormat="1" x14ac:dyDescent="0.25">
      <c r="A292" s="1">
        <f t="shared" si="10"/>
        <v>43</v>
      </c>
      <c r="B292" s="6">
        <v>45217</v>
      </c>
      <c r="C292" s="39">
        <f t="shared" si="11"/>
        <v>0</v>
      </c>
      <c r="D292" s="1">
        <v>0</v>
      </c>
      <c r="E292" s="1">
        <v>0</v>
      </c>
      <c r="F292" s="1">
        <v>0</v>
      </c>
      <c r="G292" s="1">
        <v>0</v>
      </c>
      <c r="H292" s="1">
        <v>0</v>
      </c>
      <c r="I292" s="1">
        <v>0</v>
      </c>
      <c r="J292" s="1">
        <v>0</v>
      </c>
      <c r="K292" s="1"/>
      <c r="L292" s="1">
        <v>0</v>
      </c>
    </row>
    <row r="293" spans="1:28" s="4" customFormat="1" x14ac:dyDescent="0.25">
      <c r="A293" s="1">
        <f t="shared" si="10"/>
        <v>43</v>
      </c>
      <c r="B293" s="6">
        <v>45218</v>
      </c>
      <c r="C293" s="39">
        <f t="shared" si="11"/>
        <v>0</v>
      </c>
      <c r="D293" s="1">
        <v>0</v>
      </c>
      <c r="E293" s="1">
        <v>0</v>
      </c>
      <c r="F293" s="1">
        <v>0</v>
      </c>
      <c r="G293" s="1">
        <v>0</v>
      </c>
      <c r="H293" s="1">
        <v>0</v>
      </c>
      <c r="I293" s="1">
        <v>0</v>
      </c>
      <c r="J293" s="1">
        <v>0</v>
      </c>
      <c r="K293" s="1"/>
      <c r="L293" s="1">
        <v>0</v>
      </c>
    </row>
    <row r="294" spans="1:28" s="4" customFormat="1" x14ac:dyDescent="0.25">
      <c r="A294" s="1">
        <f t="shared" si="10"/>
        <v>43</v>
      </c>
      <c r="B294" s="6">
        <v>45219</v>
      </c>
      <c r="C294" s="39">
        <f t="shared" si="11"/>
        <v>0</v>
      </c>
      <c r="D294" s="1">
        <v>0</v>
      </c>
      <c r="E294" s="1">
        <v>0</v>
      </c>
      <c r="F294" s="1">
        <v>0</v>
      </c>
      <c r="G294" s="1">
        <v>0</v>
      </c>
      <c r="H294" s="1">
        <v>0</v>
      </c>
      <c r="I294" s="1">
        <v>0</v>
      </c>
      <c r="J294" s="1">
        <v>0</v>
      </c>
      <c r="K294" s="1"/>
      <c r="L294" s="1">
        <v>0</v>
      </c>
    </row>
    <row r="295" spans="1:28" s="4" customFormat="1" x14ac:dyDescent="0.25">
      <c r="A295" s="1">
        <f t="shared" si="10"/>
        <v>43</v>
      </c>
      <c r="B295" s="6">
        <v>45220</v>
      </c>
      <c r="C295" s="39">
        <f t="shared" si="11"/>
        <v>0</v>
      </c>
      <c r="D295" s="1">
        <v>0</v>
      </c>
      <c r="E295" s="1">
        <v>0</v>
      </c>
      <c r="F295" s="1">
        <v>0</v>
      </c>
      <c r="G295" s="1">
        <v>0</v>
      </c>
      <c r="H295" s="1">
        <v>0</v>
      </c>
      <c r="I295" s="1">
        <v>0</v>
      </c>
      <c r="J295" s="1">
        <v>0</v>
      </c>
      <c r="K295" s="1"/>
      <c r="L295" s="1">
        <v>0</v>
      </c>
    </row>
    <row r="296" spans="1:28" s="4" customFormat="1" x14ac:dyDescent="0.25">
      <c r="A296" s="1">
        <f t="shared" si="10"/>
        <v>43</v>
      </c>
      <c r="B296" s="6">
        <v>45221</v>
      </c>
      <c r="C296" s="39">
        <f t="shared" si="11"/>
        <v>0</v>
      </c>
      <c r="D296" s="1">
        <v>0</v>
      </c>
      <c r="E296" s="1">
        <v>0</v>
      </c>
      <c r="F296" s="1">
        <v>0</v>
      </c>
      <c r="G296" s="1">
        <v>0</v>
      </c>
      <c r="H296" s="1">
        <v>0</v>
      </c>
      <c r="I296" s="1">
        <v>0</v>
      </c>
      <c r="J296" s="1">
        <v>0</v>
      </c>
      <c r="K296" s="1"/>
      <c r="L296" s="1">
        <v>0</v>
      </c>
    </row>
    <row r="297" spans="1:28" s="4" customFormat="1" x14ac:dyDescent="0.25">
      <c r="A297" s="1">
        <f t="shared" si="10"/>
        <v>44</v>
      </c>
      <c r="B297" s="6">
        <v>45222</v>
      </c>
      <c r="C297" s="39">
        <f t="shared" si="11"/>
        <v>0</v>
      </c>
      <c r="D297" s="1">
        <v>0</v>
      </c>
      <c r="E297" s="1">
        <v>0</v>
      </c>
      <c r="F297" s="1">
        <v>0</v>
      </c>
      <c r="G297" s="1">
        <v>0</v>
      </c>
      <c r="H297" s="1">
        <v>0</v>
      </c>
      <c r="I297" s="1">
        <v>0</v>
      </c>
      <c r="J297" s="1">
        <v>0</v>
      </c>
      <c r="K297" s="1"/>
      <c r="L297" s="1">
        <v>0</v>
      </c>
    </row>
    <row r="298" spans="1:28" s="4" customFormat="1" x14ac:dyDescent="0.25">
      <c r="A298" s="1">
        <f t="shared" si="10"/>
        <v>44</v>
      </c>
      <c r="B298" s="6">
        <v>45223</v>
      </c>
      <c r="C298" s="39">
        <f t="shared" si="11"/>
        <v>0</v>
      </c>
      <c r="D298" s="1">
        <v>0</v>
      </c>
      <c r="E298" s="1">
        <v>0</v>
      </c>
      <c r="F298" s="1">
        <v>0</v>
      </c>
      <c r="G298" s="1">
        <v>0</v>
      </c>
      <c r="H298" s="1">
        <v>0</v>
      </c>
      <c r="I298" s="1">
        <v>0</v>
      </c>
      <c r="J298" s="1">
        <v>0</v>
      </c>
      <c r="K298" s="1"/>
      <c r="L298" s="1">
        <v>0</v>
      </c>
    </row>
    <row r="299" spans="1:28" s="4" customFormat="1" x14ac:dyDescent="0.25">
      <c r="A299" s="1">
        <f t="shared" si="10"/>
        <v>44</v>
      </c>
      <c r="B299" s="6">
        <v>45224</v>
      </c>
      <c r="C299" s="39">
        <f t="shared" si="11"/>
        <v>0</v>
      </c>
      <c r="D299" s="1">
        <v>0</v>
      </c>
      <c r="E299" s="1">
        <v>0</v>
      </c>
      <c r="F299" s="1">
        <v>0</v>
      </c>
      <c r="G299" s="1">
        <v>0</v>
      </c>
      <c r="H299" s="1">
        <v>0</v>
      </c>
      <c r="I299" s="1">
        <v>0</v>
      </c>
      <c r="J299" s="1">
        <v>0</v>
      </c>
      <c r="K299" s="1"/>
      <c r="L299" s="1">
        <v>0</v>
      </c>
    </row>
    <row r="300" spans="1:28" s="4" customFormat="1" x14ac:dyDescent="0.25">
      <c r="A300" s="1">
        <f t="shared" si="10"/>
        <v>44</v>
      </c>
      <c r="B300" s="6">
        <v>45225</v>
      </c>
      <c r="C300" s="39">
        <f t="shared" si="11"/>
        <v>0</v>
      </c>
      <c r="D300" s="1">
        <v>0</v>
      </c>
      <c r="E300" s="1">
        <v>0</v>
      </c>
      <c r="F300" s="1">
        <v>0</v>
      </c>
      <c r="G300" s="1">
        <v>0</v>
      </c>
      <c r="H300" s="1">
        <v>0</v>
      </c>
      <c r="I300" s="1">
        <v>0</v>
      </c>
      <c r="J300" s="1">
        <v>0</v>
      </c>
      <c r="K300" s="1"/>
      <c r="L300" s="1">
        <v>0</v>
      </c>
    </row>
    <row r="301" spans="1:28" s="4" customFormat="1" x14ac:dyDescent="0.25">
      <c r="A301" s="1">
        <f t="shared" si="10"/>
        <v>44</v>
      </c>
      <c r="B301" s="6">
        <v>45226</v>
      </c>
      <c r="C301" s="39">
        <f t="shared" si="11"/>
        <v>0</v>
      </c>
      <c r="D301" s="1">
        <v>0</v>
      </c>
      <c r="E301" s="1">
        <v>0</v>
      </c>
      <c r="F301" s="1">
        <v>0</v>
      </c>
      <c r="G301" s="1">
        <v>0</v>
      </c>
      <c r="H301" s="1">
        <v>0</v>
      </c>
      <c r="I301" s="1">
        <v>0</v>
      </c>
      <c r="J301" s="1">
        <v>0</v>
      </c>
      <c r="K301" s="1"/>
      <c r="L301" s="1">
        <v>0</v>
      </c>
    </row>
    <row r="302" spans="1:28" s="4" customFormat="1" x14ac:dyDescent="0.25">
      <c r="A302" s="1">
        <f t="shared" si="10"/>
        <v>44</v>
      </c>
      <c r="B302" s="6">
        <v>45227</v>
      </c>
      <c r="C302" s="39">
        <f t="shared" si="11"/>
        <v>0</v>
      </c>
      <c r="D302" s="1">
        <v>0</v>
      </c>
      <c r="E302" s="1">
        <v>0</v>
      </c>
      <c r="F302" s="1">
        <v>0</v>
      </c>
      <c r="G302" s="1">
        <v>0</v>
      </c>
      <c r="H302" s="1">
        <v>0</v>
      </c>
      <c r="I302" s="1">
        <v>0</v>
      </c>
      <c r="J302" s="1">
        <v>0</v>
      </c>
      <c r="K302" s="1"/>
      <c r="L302" s="1">
        <v>0</v>
      </c>
    </row>
    <row r="303" spans="1:28" s="4" customFormat="1" x14ac:dyDescent="0.25">
      <c r="A303" s="1">
        <f t="shared" si="10"/>
        <v>44</v>
      </c>
      <c r="B303" s="6">
        <v>45228</v>
      </c>
      <c r="C303" s="39">
        <f t="shared" si="11"/>
        <v>0</v>
      </c>
      <c r="D303" s="1">
        <v>0</v>
      </c>
      <c r="E303" s="1">
        <v>0</v>
      </c>
      <c r="F303" s="1">
        <v>0</v>
      </c>
      <c r="G303" s="1">
        <v>0</v>
      </c>
      <c r="H303" s="1">
        <v>0</v>
      </c>
      <c r="I303" s="1">
        <v>0</v>
      </c>
      <c r="J303" s="1">
        <v>0</v>
      </c>
      <c r="K303" s="1"/>
      <c r="L303" s="1">
        <v>0</v>
      </c>
    </row>
    <row r="304" spans="1:28" s="25" customFormat="1" ht="15.75" thickBot="1" x14ac:dyDescent="0.3">
      <c r="A304" s="22">
        <f t="shared" si="10"/>
        <v>45</v>
      </c>
      <c r="B304" s="6">
        <v>45229</v>
      </c>
      <c r="C304" s="39">
        <f t="shared" si="11"/>
        <v>0</v>
      </c>
      <c r="D304" s="1">
        <v>0</v>
      </c>
      <c r="E304" s="1">
        <v>0</v>
      </c>
      <c r="F304" s="1">
        <v>0</v>
      </c>
      <c r="G304" s="1">
        <v>0</v>
      </c>
      <c r="H304" s="1">
        <v>0</v>
      </c>
      <c r="I304" s="1">
        <v>0</v>
      </c>
      <c r="J304" s="1">
        <v>0</v>
      </c>
      <c r="K304" s="1"/>
      <c r="L304" s="1">
        <v>0</v>
      </c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</row>
    <row r="305" spans="1:13" s="4" customFormat="1" ht="15.75" thickBot="1" x14ac:dyDescent="0.3">
      <c r="A305" s="16">
        <f t="shared" si="10"/>
        <v>45</v>
      </c>
      <c r="B305" s="6">
        <v>45230</v>
      </c>
      <c r="C305" s="39">
        <f t="shared" si="11"/>
        <v>0</v>
      </c>
      <c r="D305" s="1">
        <v>0</v>
      </c>
      <c r="E305" s="1">
        <v>0</v>
      </c>
      <c r="F305" s="1">
        <v>0</v>
      </c>
      <c r="G305" s="1">
        <v>0</v>
      </c>
      <c r="H305" s="1">
        <v>0</v>
      </c>
      <c r="I305" s="1">
        <v>0</v>
      </c>
      <c r="J305" s="1">
        <v>0</v>
      </c>
      <c r="K305" s="1"/>
      <c r="L305" s="1">
        <v>0</v>
      </c>
      <c r="M305" s="24">
        <f>SUM(C275:C305)</f>
        <v>0</v>
      </c>
    </row>
    <row r="306" spans="1:13" s="4" customFormat="1" x14ac:dyDescent="0.25">
      <c r="A306" s="1">
        <f t="shared" si="10"/>
        <v>45</v>
      </c>
      <c r="B306" s="6">
        <v>45231</v>
      </c>
      <c r="C306" s="39">
        <f t="shared" si="11"/>
        <v>0</v>
      </c>
      <c r="D306" s="1">
        <v>0</v>
      </c>
      <c r="E306" s="1">
        <v>0</v>
      </c>
      <c r="F306" s="1">
        <v>0</v>
      </c>
      <c r="G306" s="1">
        <v>0</v>
      </c>
      <c r="H306" s="1">
        <v>0</v>
      </c>
      <c r="I306" s="1">
        <v>0</v>
      </c>
      <c r="J306" s="1">
        <v>0</v>
      </c>
      <c r="K306" s="1"/>
      <c r="L306" s="1">
        <v>0</v>
      </c>
    </row>
    <row r="307" spans="1:13" s="4" customFormat="1" x14ac:dyDescent="0.25">
      <c r="A307" s="1">
        <f t="shared" si="10"/>
        <v>45</v>
      </c>
      <c r="B307" s="6">
        <v>45232</v>
      </c>
      <c r="C307" s="39">
        <f t="shared" si="11"/>
        <v>0</v>
      </c>
      <c r="D307" s="1">
        <v>0</v>
      </c>
      <c r="E307" s="1">
        <v>0</v>
      </c>
      <c r="F307" s="1">
        <v>0</v>
      </c>
      <c r="G307" s="1">
        <v>0</v>
      </c>
      <c r="H307" s="1">
        <v>0</v>
      </c>
      <c r="I307" s="1">
        <v>0</v>
      </c>
      <c r="J307" s="1">
        <v>0</v>
      </c>
      <c r="K307" s="1"/>
      <c r="L307" s="1">
        <v>0</v>
      </c>
    </row>
    <row r="308" spans="1:13" s="4" customFormat="1" x14ac:dyDescent="0.25">
      <c r="A308" s="1">
        <f t="shared" si="10"/>
        <v>45</v>
      </c>
      <c r="B308" s="6">
        <v>45233</v>
      </c>
      <c r="C308" s="39">
        <f t="shared" si="11"/>
        <v>0</v>
      </c>
      <c r="D308" s="1">
        <v>0</v>
      </c>
      <c r="E308" s="1">
        <v>0</v>
      </c>
      <c r="F308" s="1">
        <v>0</v>
      </c>
      <c r="G308" s="1">
        <v>0</v>
      </c>
      <c r="H308" s="1">
        <v>0</v>
      </c>
      <c r="I308" s="1">
        <v>0</v>
      </c>
      <c r="J308" s="1">
        <v>0</v>
      </c>
      <c r="K308" s="1"/>
      <c r="L308" s="1">
        <v>0</v>
      </c>
    </row>
    <row r="309" spans="1:13" s="4" customFormat="1" x14ac:dyDescent="0.25">
      <c r="A309" s="1">
        <f t="shared" si="10"/>
        <v>45</v>
      </c>
      <c r="B309" s="6">
        <v>45234</v>
      </c>
      <c r="C309" s="39">
        <f t="shared" si="11"/>
        <v>0</v>
      </c>
      <c r="D309" s="1">
        <v>0</v>
      </c>
      <c r="E309" s="1">
        <v>0</v>
      </c>
      <c r="F309" s="1">
        <v>0</v>
      </c>
      <c r="G309" s="1">
        <v>0</v>
      </c>
      <c r="H309" s="1">
        <v>0</v>
      </c>
      <c r="I309" s="1">
        <v>0</v>
      </c>
      <c r="J309" s="1">
        <v>0</v>
      </c>
      <c r="K309" s="1"/>
      <c r="L309" s="1">
        <v>0</v>
      </c>
    </row>
    <row r="310" spans="1:13" s="4" customFormat="1" x14ac:dyDescent="0.25">
      <c r="A310" s="1">
        <f t="shared" si="10"/>
        <v>45</v>
      </c>
      <c r="B310" s="6">
        <v>45235</v>
      </c>
      <c r="C310" s="39">
        <f t="shared" si="11"/>
        <v>0</v>
      </c>
      <c r="D310" s="1">
        <v>0</v>
      </c>
      <c r="E310" s="1">
        <v>0</v>
      </c>
      <c r="F310" s="1">
        <v>0</v>
      </c>
      <c r="G310" s="1">
        <v>0</v>
      </c>
      <c r="H310" s="1">
        <v>0</v>
      </c>
      <c r="I310" s="1">
        <v>0</v>
      </c>
      <c r="J310" s="1">
        <v>0</v>
      </c>
      <c r="K310" s="1"/>
      <c r="L310" s="1">
        <v>0</v>
      </c>
    </row>
    <row r="311" spans="1:13" s="4" customFormat="1" x14ac:dyDescent="0.25">
      <c r="A311" s="1">
        <f t="shared" si="10"/>
        <v>46</v>
      </c>
      <c r="B311" s="6">
        <v>45236</v>
      </c>
      <c r="C311" s="39">
        <f t="shared" si="11"/>
        <v>0</v>
      </c>
      <c r="D311" s="1">
        <v>0</v>
      </c>
      <c r="E311" s="1">
        <v>0</v>
      </c>
      <c r="F311" s="1">
        <v>0</v>
      </c>
      <c r="G311" s="1">
        <v>0</v>
      </c>
      <c r="H311" s="1">
        <v>0</v>
      </c>
      <c r="I311" s="1">
        <v>0</v>
      </c>
      <c r="J311" s="1">
        <v>0</v>
      </c>
      <c r="K311" s="1"/>
      <c r="L311" s="1">
        <v>0</v>
      </c>
    </row>
    <row r="312" spans="1:13" s="4" customFormat="1" x14ac:dyDescent="0.25">
      <c r="A312" s="1">
        <f t="shared" si="10"/>
        <v>46</v>
      </c>
      <c r="B312" s="6">
        <v>45237</v>
      </c>
      <c r="C312" s="39">
        <f t="shared" si="11"/>
        <v>0</v>
      </c>
      <c r="D312" s="1">
        <v>0</v>
      </c>
      <c r="E312" s="1">
        <v>0</v>
      </c>
      <c r="F312" s="1">
        <v>0</v>
      </c>
      <c r="G312" s="1">
        <v>0</v>
      </c>
      <c r="H312" s="1">
        <v>0</v>
      </c>
      <c r="I312" s="1">
        <v>0</v>
      </c>
      <c r="J312" s="1">
        <v>0</v>
      </c>
      <c r="K312" s="1"/>
      <c r="L312" s="1">
        <v>0</v>
      </c>
    </row>
    <row r="313" spans="1:13" s="4" customFormat="1" x14ac:dyDescent="0.25">
      <c r="A313" s="1">
        <f t="shared" si="10"/>
        <v>46</v>
      </c>
      <c r="B313" s="6">
        <v>45238</v>
      </c>
      <c r="C313" s="39">
        <f t="shared" si="11"/>
        <v>0</v>
      </c>
      <c r="D313" s="1">
        <v>0</v>
      </c>
      <c r="E313" s="1">
        <v>0</v>
      </c>
      <c r="F313" s="1">
        <v>0</v>
      </c>
      <c r="G313" s="1">
        <v>0</v>
      </c>
      <c r="H313" s="1">
        <v>0</v>
      </c>
      <c r="I313" s="1">
        <v>0</v>
      </c>
      <c r="J313" s="1">
        <v>0</v>
      </c>
      <c r="K313" s="1"/>
      <c r="L313" s="1">
        <v>0</v>
      </c>
    </row>
    <row r="314" spans="1:13" s="4" customFormat="1" x14ac:dyDescent="0.25">
      <c r="A314" s="1">
        <f t="shared" si="10"/>
        <v>46</v>
      </c>
      <c r="B314" s="6">
        <v>45239</v>
      </c>
      <c r="C314" s="39">
        <f t="shared" si="11"/>
        <v>0</v>
      </c>
      <c r="D314" s="1">
        <v>0</v>
      </c>
      <c r="E314" s="1">
        <v>0</v>
      </c>
      <c r="F314" s="1">
        <v>0</v>
      </c>
      <c r="G314" s="1">
        <v>0</v>
      </c>
      <c r="H314" s="1">
        <v>0</v>
      </c>
      <c r="I314" s="1">
        <v>0</v>
      </c>
      <c r="J314" s="1">
        <v>0</v>
      </c>
      <c r="K314" s="1"/>
      <c r="L314" s="1">
        <v>0</v>
      </c>
    </row>
    <row r="315" spans="1:13" s="4" customFormat="1" x14ac:dyDescent="0.25">
      <c r="A315" s="1">
        <f t="shared" si="10"/>
        <v>46</v>
      </c>
      <c r="B315" s="6">
        <v>45240</v>
      </c>
      <c r="C315" s="39">
        <f t="shared" si="11"/>
        <v>0</v>
      </c>
      <c r="D315" s="1">
        <v>0</v>
      </c>
      <c r="E315" s="1">
        <v>0</v>
      </c>
      <c r="F315" s="1">
        <v>0</v>
      </c>
      <c r="G315" s="1">
        <v>0</v>
      </c>
      <c r="H315" s="1">
        <v>0</v>
      </c>
      <c r="I315" s="1">
        <v>0</v>
      </c>
      <c r="J315" s="1">
        <v>0</v>
      </c>
      <c r="K315" s="1"/>
      <c r="L315" s="1">
        <v>0</v>
      </c>
    </row>
    <row r="316" spans="1:13" s="4" customFormat="1" x14ac:dyDescent="0.25">
      <c r="A316" s="1">
        <f t="shared" si="10"/>
        <v>46</v>
      </c>
      <c r="B316" s="6">
        <v>45241</v>
      </c>
      <c r="C316" s="39">
        <f t="shared" si="11"/>
        <v>0</v>
      </c>
      <c r="D316" s="1">
        <v>0</v>
      </c>
      <c r="E316" s="1">
        <v>0</v>
      </c>
      <c r="F316" s="1">
        <v>0</v>
      </c>
      <c r="G316" s="1">
        <v>0</v>
      </c>
      <c r="H316" s="1">
        <v>0</v>
      </c>
      <c r="I316" s="1">
        <v>0</v>
      </c>
      <c r="J316" s="1">
        <v>0</v>
      </c>
      <c r="K316" s="1"/>
      <c r="L316" s="1">
        <v>0</v>
      </c>
    </row>
    <row r="317" spans="1:13" s="4" customFormat="1" x14ac:dyDescent="0.25">
      <c r="A317" s="1">
        <f t="shared" si="10"/>
        <v>46</v>
      </c>
      <c r="B317" s="6">
        <v>45242</v>
      </c>
      <c r="C317" s="39">
        <f t="shared" si="11"/>
        <v>0</v>
      </c>
      <c r="D317" s="1">
        <v>0</v>
      </c>
      <c r="E317" s="1">
        <v>0</v>
      </c>
      <c r="F317" s="1">
        <v>0</v>
      </c>
      <c r="G317" s="1">
        <v>0</v>
      </c>
      <c r="H317" s="1">
        <v>0</v>
      </c>
      <c r="I317" s="1">
        <v>0</v>
      </c>
      <c r="J317" s="1">
        <v>0</v>
      </c>
      <c r="K317" s="1"/>
      <c r="L317" s="1">
        <v>0</v>
      </c>
    </row>
    <row r="318" spans="1:13" s="4" customFormat="1" x14ac:dyDescent="0.25">
      <c r="A318" s="1">
        <f t="shared" si="10"/>
        <v>47</v>
      </c>
      <c r="B318" s="6">
        <v>45243</v>
      </c>
      <c r="C318" s="39">
        <f t="shared" si="11"/>
        <v>0</v>
      </c>
      <c r="D318" s="1">
        <v>0</v>
      </c>
      <c r="E318" s="1">
        <v>0</v>
      </c>
      <c r="F318" s="1">
        <v>0</v>
      </c>
      <c r="G318" s="1">
        <v>0</v>
      </c>
      <c r="H318" s="1">
        <v>0</v>
      </c>
      <c r="I318" s="1">
        <v>0</v>
      </c>
      <c r="J318" s="1">
        <v>0</v>
      </c>
      <c r="K318" s="1"/>
      <c r="L318" s="1">
        <v>0</v>
      </c>
    </row>
    <row r="319" spans="1:13" s="4" customFormat="1" x14ac:dyDescent="0.25">
      <c r="A319" s="1">
        <f t="shared" si="10"/>
        <v>47</v>
      </c>
      <c r="B319" s="6">
        <v>45244</v>
      </c>
      <c r="C319" s="39">
        <f t="shared" si="11"/>
        <v>0</v>
      </c>
      <c r="D319" s="1">
        <v>0</v>
      </c>
      <c r="E319" s="1">
        <v>0</v>
      </c>
      <c r="F319" s="1">
        <v>0</v>
      </c>
      <c r="G319" s="1">
        <v>0</v>
      </c>
      <c r="H319" s="1">
        <v>0</v>
      </c>
      <c r="I319" s="1">
        <v>0</v>
      </c>
      <c r="J319" s="1">
        <v>0</v>
      </c>
      <c r="K319" s="1"/>
      <c r="L319" s="1">
        <v>0</v>
      </c>
    </row>
    <row r="320" spans="1:13" s="4" customFormat="1" x14ac:dyDescent="0.25">
      <c r="A320" s="1">
        <f t="shared" si="10"/>
        <v>47</v>
      </c>
      <c r="B320" s="6">
        <v>45245</v>
      </c>
      <c r="C320" s="39">
        <f t="shared" si="11"/>
        <v>0</v>
      </c>
      <c r="D320" s="1">
        <v>0</v>
      </c>
      <c r="E320" s="1">
        <v>0</v>
      </c>
      <c r="F320" s="1">
        <v>0</v>
      </c>
      <c r="G320" s="1">
        <v>0</v>
      </c>
      <c r="H320" s="1">
        <v>0</v>
      </c>
      <c r="I320" s="1">
        <v>0</v>
      </c>
      <c r="J320" s="1">
        <v>0</v>
      </c>
      <c r="K320" s="1"/>
      <c r="L320" s="1">
        <v>0</v>
      </c>
    </row>
    <row r="321" spans="1:13" s="4" customFormat="1" x14ac:dyDescent="0.25">
      <c r="A321" s="1">
        <f t="shared" si="10"/>
        <v>47</v>
      </c>
      <c r="B321" s="6">
        <v>45246</v>
      </c>
      <c r="C321" s="39">
        <f t="shared" si="11"/>
        <v>0</v>
      </c>
      <c r="D321" s="1">
        <v>0</v>
      </c>
      <c r="E321" s="1">
        <v>0</v>
      </c>
      <c r="F321" s="1">
        <v>0</v>
      </c>
      <c r="G321" s="1">
        <v>0</v>
      </c>
      <c r="H321" s="1">
        <v>0</v>
      </c>
      <c r="I321" s="1">
        <v>0</v>
      </c>
      <c r="J321" s="1">
        <v>0</v>
      </c>
      <c r="K321" s="1"/>
      <c r="L321" s="1">
        <v>0</v>
      </c>
    </row>
    <row r="322" spans="1:13" s="4" customFormat="1" x14ac:dyDescent="0.25">
      <c r="A322" s="1">
        <f t="shared" si="10"/>
        <v>47</v>
      </c>
      <c r="B322" s="6">
        <v>45247</v>
      </c>
      <c r="C322" s="39">
        <f t="shared" si="11"/>
        <v>0</v>
      </c>
      <c r="D322" s="1">
        <v>0</v>
      </c>
      <c r="E322" s="1">
        <v>0</v>
      </c>
      <c r="F322" s="1">
        <v>0</v>
      </c>
      <c r="G322" s="1">
        <v>0</v>
      </c>
      <c r="H322" s="1">
        <v>0</v>
      </c>
      <c r="I322" s="1">
        <v>0</v>
      </c>
      <c r="J322" s="1">
        <v>0</v>
      </c>
      <c r="K322" s="1"/>
      <c r="L322" s="1">
        <v>0</v>
      </c>
    </row>
    <row r="323" spans="1:13" s="4" customFormat="1" x14ac:dyDescent="0.25">
      <c r="A323" s="1">
        <f t="shared" ref="A323:A365" si="12">WEEKNUM($B323,2)</f>
        <v>47</v>
      </c>
      <c r="B323" s="6">
        <v>45248</v>
      </c>
      <c r="C323" s="39">
        <f t="shared" ref="C323:C366" si="13">AVERAGE(D323:L323)</f>
        <v>0</v>
      </c>
      <c r="D323" s="1">
        <v>0</v>
      </c>
      <c r="E323" s="1">
        <v>0</v>
      </c>
      <c r="F323" s="1">
        <v>0</v>
      </c>
      <c r="G323" s="1">
        <v>0</v>
      </c>
      <c r="H323" s="1">
        <v>0</v>
      </c>
      <c r="I323" s="1">
        <v>0</v>
      </c>
      <c r="J323" s="1">
        <v>0</v>
      </c>
      <c r="K323" s="1"/>
      <c r="L323" s="1">
        <v>0</v>
      </c>
    </row>
    <row r="324" spans="1:13" s="4" customFormat="1" x14ac:dyDescent="0.25">
      <c r="A324" s="1">
        <f t="shared" si="12"/>
        <v>47</v>
      </c>
      <c r="B324" s="6">
        <v>45249</v>
      </c>
      <c r="C324" s="39">
        <f t="shared" si="13"/>
        <v>0</v>
      </c>
      <c r="D324" s="1">
        <v>0</v>
      </c>
      <c r="E324" s="1">
        <v>0</v>
      </c>
      <c r="F324" s="1">
        <v>0</v>
      </c>
      <c r="G324" s="1">
        <v>0</v>
      </c>
      <c r="H324" s="1">
        <v>0</v>
      </c>
      <c r="I324" s="1">
        <v>0</v>
      </c>
      <c r="J324" s="1">
        <v>0</v>
      </c>
      <c r="K324" s="1"/>
      <c r="L324" s="1">
        <v>0</v>
      </c>
    </row>
    <row r="325" spans="1:13" s="4" customFormat="1" x14ac:dyDescent="0.25">
      <c r="A325" s="1">
        <f t="shared" si="12"/>
        <v>48</v>
      </c>
      <c r="B325" s="6">
        <v>45250</v>
      </c>
      <c r="C325" s="39">
        <f t="shared" si="13"/>
        <v>0</v>
      </c>
      <c r="D325" s="1">
        <v>0</v>
      </c>
      <c r="E325" s="1">
        <v>0</v>
      </c>
      <c r="F325" s="1">
        <v>0</v>
      </c>
      <c r="G325" s="1">
        <v>0</v>
      </c>
      <c r="H325" s="1">
        <v>0</v>
      </c>
      <c r="I325" s="1">
        <v>0</v>
      </c>
      <c r="J325" s="1">
        <v>0</v>
      </c>
      <c r="K325" s="1"/>
      <c r="L325" s="1">
        <v>0</v>
      </c>
    </row>
    <row r="326" spans="1:13" s="4" customFormat="1" x14ac:dyDescent="0.25">
      <c r="A326" s="1">
        <f t="shared" si="12"/>
        <v>48</v>
      </c>
      <c r="B326" s="6">
        <v>45251</v>
      </c>
      <c r="C326" s="39">
        <f t="shared" si="13"/>
        <v>0</v>
      </c>
      <c r="D326" s="1">
        <v>0</v>
      </c>
      <c r="E326" s="1">
        <v>0</v>
      </c>
      <c r="F326" s="1">
        <v>0</v>
      </c>
      <c r="G326" s="1">
        <v>0</v>
      </c>
      <c r="H326" s="1">
        <v>0</v>
      </c>
      <c r="I326" s="1">
        <v>0</v>
      </c>
      <c r="J326" s="1">
        <v>0</v>
      </c>
      <c r="K326" s="1"/>
      <c r="L326" s="1">
        <v>0</v>
      </c>
    </row>
    <row r="327" spans="1:13" s="4" customFormat="1" x14ac:dyDescent="0.25">
      <c r="A327" s="1">
        <f t="shared" si="12"/>
        <v>48</v>
      </c>
      <c r="B327" s="6">
        <v>45252</v>
      </c>
      <c r="C327" s="39">
        <f t="shared" si="13"/>
        <v>0</v>
      </c>
      <c r="D327" s="1">
        <v>0</v>
      </c>
      <c r="E327" s="1">
        <v>0</v>
      </c>
      <c r="F327" s="1">
        <v>0</v>
      </c>
      <c r="G327" s="1">
        <v>0</v>
      </c>
      <c r="H327" s="1">
        <v>0</v>
      </c>
      <c r="I327" s="1">
        <v>0</v>
      </c>
      <c r="J327" s="1">
        <v>0</v>
      </c>
      <c r="K327" s="1"/>
      <c r="L327" s="1">
        <v>0</v>
      </c>
    </row>
    <row r="328" spans="1:13" s="4" customFormat="1" x14ac:dyDescent="0.25">
      <c r="A328" s="1">
        <f t="shared" si="12"/>
        <v>48</v>
      </c>
      <c r="B328" s="6">
        <v>45253</v>
      </c>
      <c r="C328" s="39">
        <f t="shared" si="13"/>
        <v>0</v>
      </c>
      <c r="D328" s="1">
        <v>0</v>
      </c>
      <c r="E328" s="1">
        <v>0</v>
      </c>
      <c r="F328" s="1">
        <v>0</v>
      </c>
      <c r="G328" s="1">
        <v>0</v>
      </c>
      <c r="H328" s="1">
        <v>0</v>
      </c>
      <c r="I328" s="1">
        <v>0</v>
      </c>
      <c r="J328" s="1">
        <v>0</v>
      </c>
      <c r="K328" s="1"/>
      <c r="L328" s="1">
        <v>0</v>
      </c>
    </row>
    <row r="329" spans="1:13" s="4" customFormat="1" x14ac:dyDescent="0.25">
      <c r="A329" s="1">
        <f t="shared" si="12"/>
        <v>48</v>
      </c>
      <c r="B329" s="6">
        <v>45254</v>
      </c>
      <c r="C329" s="39">
        <f t="shared" si="13"/>
        <v>0</v>
      </c>
      <c r="D329" s="1">
        <v>0</v>
      </c>
      <c r="E329" s="1">
        <v>0</v>
      </c>
      <c r="F329" s="1">
        <v>0</v>
      </c>
      <c r="G329" s="1">
        <v>0</v>
      </c>
      <c r="H329" s="1">
        <v>0</v>
      </c>
      <c r="I329" s="1">
        <v>0</v>
      </c>
      <c r="J329" s="1">
        <v>0</v>
      </c>
      <c r="K329" s="1"/>
      <c r="L329" s="1">
        <v>0</v>
      </c>
    </row>
    <row r="330" spans="1:13" s="4" customFormat="1" x14ac:dyDescent="0.25">
      <c r="A330" s="1">
        <f t="shared" si="12"/>
        <v>48</v>
      </c>
      <c r="B330" s="6">
        <v>45255</v>
      </c>
      <c r="C330" s="39">
        <f t="shared" si="13"/>
        <v>0</v>
      </c>
      <c r="D330" s="1">
        <v>0</v>
      </c>
      <c r="E330" s="1">
        <v>0</v>
      </c>
      <c r="F330" s="1">
        <v>0</v>
      </c>
      <c r="G330" s="1">
        <v>0</v>
      </c>
      <c r="H330" s="1">
        <v>0</v>
      </c>
      <c r="I330" s="1">
        <v>0</v>
      </c>
      <c r="J330" s="1">
        <v>0</v>
      </c>
      <c r="K330" s="1"/>
      <c r="L330" s="1">
        <v>0</v>
      </c>
    </row>
    <row r="331" spans="1:13" s="4" customFormat="1" x14ac:dyDescent="0.25">
      <c r="A331" s="1">
        <f t="shared" si="12"/>
        <v>48</v>
      </c>
      <c r="B331" s="6">
        <v>45256</v>
      </c>
      <c r="C331" s="39">
        <f t="shared" si="13"/>
        <v>0</v>
      </c>
      <c r="D331" s="1">
        <v>0</v>
      </c>
      <c r="E331" s="1">
        <v>0</v>
      </c>
      <c r="F331" s="1">
        <v>0</v>
      </c>
      <c r="G331" s="1">
        <v>0</v>
      </c>
      <c r="H331" s="1">
        <v>0</v>
      </c>
      <c r="I331" s="1">
        <v>0</v>
      </c>
      <c r="J331" s="1">
        <v>0</v>
      </c>
      <c r="K331" s="1"/>
      <c r="L331" s="1">
        <v>0</v>
      </c>
    </row>
    <row r="332" spans="1:13" s="4" customFormat="1" x14ac:dyDescent="0.25">
      <c r="A332" s="1">
        <f t="shared" si="12"/>
        <v>49</v>
      </c>
      <c r="B332" s="6">
        <v>45257</v>
      </c>
      <c r="C332" s="39">
        <f t="shared" si="13"/>
        <v>0</v>
      </c>
      <c r="D332" s="1">
        <v>0</v>
      </c>
      <c r="E332" s="1">
        <v>0</v>
      </c>
      <c r="F332" s="1">
        <v>0</v>
      </c>
      <c r="G332" s="1">
        <v>0</v>
      </c>
      <c r="H332" s="1">
        <v>0</v>
      </c>
      <c r="I332" s="1">
        <v>0</v>
      </c>
      <c r="J332" s="1">
        <v>0</v>
      </c>
      <c r="K332" s="1"/>
      <c r="L332" s="1">
        <v>0</v>
      </c>
    </row>
    <row r="333" spans="1:13" s="4" customFormat="1" x14ac:dyDescent="0.25">
      <c r="A333" s="1"/>
      <c r="B333" s="6">
        <v>45258</v>
      </c>
      <c r="C333" s="39">
        <f t="shared" si="13"/>
        <v>0</v>
      </c>
      <c r="D333" s="1">
        <v>0</v>
      </c>
      <c r="E333" s="1">
        <v>0</v>
      </c>
      <c r="F333" s="1">
        <v>0</v>
      </c>
      <c r="G333" s="1">
        <v>0</v>
      </c>
      <c r="H333" s="1">
        <v>0</v>
      </c>
      <c r="I333" s="1">
        <v>0</v>
      </c>
      <c r="J333" s="1">
        <v>0</v>
      </c>
      <c r="K333" s="1"/>
      <c r="L333" s="1">
        <v>0</v>
      </c>
    </row>
    <row r="334" spans="1:13" s="4" customFormat="1" x14ac:dyDescent="0.25">
      <c r="A334" s="1">
        <f t="shared" si="12"/>
        <v>49</v>
      </c>
      <c r="B334" s="6">
        <v>45259</v>
      </c>
      <c r="C334" s="39">
        <f t="shared" si="13"/>
        <v>0</v>
      </c>
      <c r="D334" s="1">
        <v>0</v>
      </c>
      <c r="E334" s="1">
        <v>0</v>
      </c>
      <c r="F334" s="1">
        <v>0</v>
      </c>
      <c r="G334" s="1">
        <v>0</v>
      </c>
      <c r="H334" s="1">
        <v>0</v>
      </c>
      <c r="I334" s="1">
        <v>0</v>
      </c>
      <c r="J334" s="1">
        <v>0</v>
      </c>
      <c r="K334" s="1"/>
      <c r="L334" s="1">
        <v>0</v>
      </c>
    </row>
    <row r="335" spans="1:13" s="25" customFormat="1" ht="15.75" thickBot="1" x14ac:dyDescent="0.3">
      <c r="A335" s="22">
        <f t="shared" si="12"/>
        <v>49</v>
      </c>
      <c r="B335" s="6">
        <v>45260</v>
      </c>
      <c r="C335" s="39">
        <f t="shared" si="13"/>
        <v>0</v>
      </c>
      <c r="D335" s="1">
        <v>0</v>
      </c>
      <c r="E335" s="1">
        <v>0</v>
      </c>
      <c r="F335" s="1">
        <v>0</v>
      </c>
      <c r="G335" s="1">
        <v>0</v>
      </c>
      <c r="H335" s="1">
        <v>0</v>
      </c>
      <c r="I335" s="1">
        <v>0</v>
      </c>
      <c r="J335" s="1">
        <v>0</v>
      </c>
      <c r="K335" s="1"/>
      <c r="L335" s="1">
        <v>0</v>
      </c>
      <c r="M335" s="25">
        <f>SUM(C306:C335)</f>
        <v>0</v>
      </c>
    </row>
    <row r="336" spans="1:13" s="4" customFormat="1" x14ac:dyDescent="0.25">
      <c r="A336" s="1">
        <f t="shared" si="12"/>
        <v>49</v>
      </c>
      <c r="B336" s="6">
        <v>45261</v>
      </c>
      <c r="C336" s="39">
        <f t="shared" si="13"/>
        <v>0</v>
      </c>
      <c r="D336" s="1">
        <v>0</v>
      </c>
      <c r="E336" s="1">
        <v>0</v>
      </c>
      <c r="F336" s="1">
        <v>0</v>
      </c>
      <c r="G336" s="1">
        <v>0</v>
      </c>
      <c r="H336" s="1">
        <v>0</v>
      </c>
      <c r="I336" s="1">
        <v>0</v>
      </c>
      <c r="J336" s="1">
        <v>0</v>
      </c>
      <c r="K336" s="1"/>
      <c r="L336" s="1">
        <v>0</v>
      </c>
    </row>
    <row r="337" spans="1:12" s="4" customFormat="1" x14ac:dyDescent="0.25">
      <c r="A337" s="1">
        <f t="shared" si="12"/>
        <v>49</v>
      </c>
      <c r="B337" s="6">
        <v>45262</v>
      </c>
      <c r="C337" s="39">
        <f t="shared" si="13"/>
        <v>0</v>
      </c>
      <c r="D337" s="1">
        <v>0</v>
      </c>
      <c r="E337" s="1">
        <v>0</v>
      </c>
      <c r="F337" s="1">
        <v>0</v>
      </c>
      <c r="G337" s="1">
        <v>0</v>
      </c>
      <c r="H337" s="1">
        <v>0</v>
      </c>
      <c r="I337" s="1">
        <v>0</v>
      </c>
      <c r="J337" s="1">
        <v>0</v>
      </c>
      <c r="K337" s="1"/>
      <c r="L337" s="1">
        <v>0</v>
      </c>
    </row>
    <row r="338" spans="1:12" s="4" customFormat="1" x14ac:dyDescent="0.25">
      <c r="A338" s="1">
        <f t="shared" si="12"/>
        <v>49</v>
      </c>
      <c r="B338" s="6">
        <v>45263</v>
      </c>
      <c r="C338" s="39">
        <f t="shared" si="13"/>
        <v>0</v>
      </c>
      <c r="D338" s="1">
        <v>0</v>
      </c>
      <c r="E338" s="1">
        <v>0</v>
      </c>
      <c r="F338" s="1">
        <v>0</v>
      </c>
      <c r="G338" s="1">
        <v>0</v>
      </c>
      <c r="H338" s="1">
        <v>0</v>
      </c>
      <c r="I338" s="1">
        <v>0</v>
      </c>
      <c r="J338" s="1">
        <v>0</v>
      </c>
      <c r="K338" s="1"/>
      <c r="L338" s="1">
        <v>0</v>
      </c>
    </row>
    <row r="339" spans="1:12" s="4" customFormat="1" x14ac:dyDescent="0.25">
      <c r="A339" s="1">
        <f t="shared" si="12"/>
        <v>50</v>
      </c>
      <c r="B339" s="6">
        <v>45264</v>
      </c>
      <c r="C339" s="39">
        <f t="shared" si="13"/>
        <v>0</v>
      </c>
      <c r="D339" s="1">
        <v>0</v>
      </c>
      <c r="E339" s="1">
        <v>0</v>
      </c>
      <c r="F339" s="1">
        <v>0</v>
      </c>
      <c r="G339" s="1">
        <v>0</v>
      </c>
      <c r="H339" s="1">
        <v>0</v>
      </c>
      <c r="I339" s="1">
        <v>0</v>
      </c>
      <c r="J339" s="1">
        <v>0</v>
      </c>
      <c r="K339" s="1"/>
      <c r="L339" s="1">
        <v>0</v>
      </c>
    </row>
    <row r="340" spans="1:12" s="4" customFormat="1" x14ac:dyDescent="0.25">
      <c r="A340" s="1">
        <f t="shared" si="12"/>
        <v>50</v>
      </c>
      <c r="B340" s="6">
        <v>45265</v>
      </c>
      <c r="C340" s="39">
        <f t="shared" si="13"/>
        <v>0</v>
      </c>
      <c r="D340" s="1">
        <v>0</v>
      </c>
      <c r="E340" s="1">
        <v>0</v>
      </c>
      <c r="F340" s="1">
        <v>0</v>
      </c>
      <c r="G340" s="1">
        <v>0</v>
      </c>
      <c r="H340" s="1">
        <v>0</v>
      </c>
      <c r="I340" s="1">
        <v>0</v>
      </c>
      <c r="J340" s="1">
        <v>0</v>
      </c>
      <c r="K340" s="1"/>
      <c r="L340" s="1">
        <v>0</v>
      </c>
    </row>
    <row r="341" spans="1:12" s="4" customFormat="1" x14ac:dyDescent="0.25">
      <c r="A341" s="1">
        <f t="shared" si="12"/>
        <v>50</v>
      </c>
      <c r="B341" s="6">
        <v>45266</v>
      </c>
      <c r="C341" s="39">
        <f t="shared" si="13"/>
        <v>0</v>
      </c>
      <c r="D341" s="1">
        <v>0</v>
      </c>
      <c r="E341" s="1">
        <v>0</v>
      </c>
      <c r="F341" s="1">
        <v>0</v>
      </c>
      <c r="G341" s="1">
        <v>0</v>
      </c>
      <c r="H341" s="1">
        <v>0</v>
      </c>
      <c r="I341" s="1">
        <v>0</v>
      </c>
      <c r="J341" s="1">
        <v>0</v>
      </c>
      <c r="K341" s="1"/>
      <c r="L341" s="1">
        <v>0</v>
      </c>
    </row>
    <row r="342" spans="1:12" s="4" customFormat="1" x14ac:dyDescent="0.25">
      <c r="A342" s="1">
        <f t="shared" si="12"/>
        <v>50</v>
      </c>
      <c r="B342" s="6">
        <v>45267</v>
      </c>
      <c r="C342" s="39">
        <f t="shared" si="13"/>
        <v>0</v>
      </c>
      <c r="D342" s="1">
        <v>0</v>
      </c>
      <c r="E342" s="1">
        <v>0</v>
      </c>
      <c r="F342" s="1">
        <v>0</v>
      </c>
      <c r="G342" s="1">
        <v>0</v>
      </c>
      <c r="H342" s="1">
        <v>0</v>
      </c>
      <c r="I342" s="1">
        <v>0</v>
      </c>
      <c r="J342" s="1">
        <v>0</v>
      </c>
      <c r="K342" s="1"/>
      <c r="L342" s="1">
        <v>0</v>
      </c>
    </row>
    <row r="343" spans="1:12" s="4" customFormat="1" x14ac:dyDescent="0.25">
      <c r="A343" s="1">
        <f t="shared" si="12"/>
        <v>50</v>
      </c>
      <c r="B343" s="6">
        <v>45268</v>
      </c>
      <c r="C343" s="39">
        <f t="shared" si="13"/>
        <v>0</v>
      </c>
      <c r="D343" s="1">
        <v>0</v>
      </c>
      <c r="E343" s="1">
        <v>0</v>
      </c>
      <c r="F343" s="1">
        <v>0</v>
      </c>
      <c r="G343" s="1">
        <v>0</v>
      </c>
      <c r="H343" s="1">
        <v>0</v>
      </c>
      <c r="I343" s="1">
        <v>0</v>
      </c>
      <c r="J343" s="1">
        <v>0</v>
      </c>
      <c r="K343" s="1"/>
      <c r="L343" s="1">
        <v>0</v>
      </c>
    </row>
    <row r="344" spans="1:12" s="4" customFormat="1" x14ac:dyDescent="0.25">
      <c r="A344" s="1">
        <f t="shared" si="12"/>
        <v>50</v>
      </c>
      <c r="B344" s="6">
        <v>45269</v>
      </c>
      <c r="C344" s="39">
        <f t="shared" si="13"/>
        <v>0</v>
      </c>
      <c r="D344" s="1">
        <v>0</v>
      </c>
      <c r="E344" s="1">
        <v>0</v>
      </c>
      <c r="F344" s="1">
        <v>0</v>
      </c>
      <c r="G344" s="1">
        <v>0</v>
      </c>
      <c r="H344" s="1">
        <v>0</v>
      </c>
      <c r="I344" s="1">
        <v>0</v>
      </c>
      <c r="J344" s="1">
        <v>0</v>
      </c>
      <c r="K344" s="1"/>
      <c r="L344" s="1">
        <v>0</v>
      </c>
    </row>
    <row r="345" spans="1:12" s="4" customFormat="1" x14ac:dyDescent="0.25">
      <c r="A345" s="1">
        <f t="shared" si="12"/>
        <v>50</v>
      </c>
      <c r="B345" s="6">
        <v>45270</v>
      </c>
      <c r="C345" s="39">
        <f t="shared" si="13"/>
        <v>0</v>
      </c>
      <c r="D345" s="1">
        <v>0</v>
      </c>
      <c r="E345" s="1">
        <v>0</v>
      </c>
      <c r="F345" s="1">
        <v>0</v>
      </c>
      <c r="G345" s="1">
        <v>0</v>
      </c>
      <c r="H345" s="1">
        <v>0</v>
      </c>
      <c r="I345" s="1">
        <v>0</v>
      </c>
      <c r="J345" s="1">
        <v>0</v>
      </c>
      <c r="K345" s="1"/>
      <c r="L345" s="1">
        <v>0</v>
      </c>
    </row>
    <row r="346" spans="1:12" s="4" customFormat="1" x14ac:dyDescent="0.25">
      <c r="A346" s="1">
        <f t="shared" si="12"/>
        <v>51</v>
      </c>
      <c r="B346" s="6">
        <v>45271</v>
      </c>
      <c r="C346" s="39">
        <f t="shared" si="13"/>
        <v>0</v>
      </c>
      <c r="D346" s="1">
        <v>0</v>
      </c>
      <c r="E346" s="1">
        <v>0</v>
      </c>
      <c r="F346" s="1">
        <v>0</v>
      </c>
      <c r="G346" s="1">
        <v>0</v>
      </c>
      <c r="H346" s="1">
        <v>0</v>
      </c>
      <c r="I346" s="1">
        <v>0</v>
      </c>
      <c r="J346" s="1">
        <v>0</v>
      </c>
      <c r="K346" s="1"/>
      <c r="L346" s="1">
        <v>0</v>
      </c>
    </row>
    <row r="347" spans="1:12" s="4" customFormat="1" x14ac:dyDescent="0.25">
      <c r="A347" s="1">
        <f t="shared" si="12"/>
        <v>51</v>
      </c>
      <c r="B347" s="6">
        <v>45272</v>
      </c>
      <c r="C347" s="39">
        <f t="shared" si="13"/>
        <v>0</v>
      </c>
      <c r="D347" s="1">
        <v>0</v>
      </c>
      <c r="E347" s="1">
        <v>0</v>
      </c>
      <c r="F347" s="1">
        <v>0</v>
      </c>
      <c r="G347" s="1">
        <v>0</v>
      </c>
      <c r="H347" s="1">
        <v>0</v>
      </c>
      <c r="I347" s="1">
        <v>0</v>
      </c>
      <c r="J347" s="1">
        <v>0</v>
      </c>
      <c r="K347" s="1"/>
      <c r="L347" s="1">
        <v>0</v>
      </c>
    </row>
    <row r="348" spans="1:12" s="4" customFormat="1" x14ac:dyDescent="0.25">
      <c r="A348" s="1">
        <f t="shared" si="12"/>
        <v>51</v>
      </c>
      <c r="B348" s="6">
        <v>45273</v>
      </c>
      <c r="C348" s="39">
        <f t="shared" si="13"/>
        <v>0</v>
      </c>
      <c r="D348" s="1">
        <v>0</v>
      </c>
      <c r="E348" s="1">
        <v>0</v>
      </c>
      <c r="F348" s="1">
        <v>0</v>
      </c>
      <c r="G348" s="1">
        <v>0</v>
      </c>
      <c r="H348" s="1">
        <v>0</v>
      </c>
      <c r="I348" s="1">
        <v>0</v>
      </c>
      <c r="J348" s="1">
        <v>0</v>
      </c>
      <c r="K348" s="1"/>
      <c r="L348" s="1">
        <v>0</v>
      </c>
    </row>
    <row r="349" spans="1:12" s="4" customFormat="1" x14ac:dyDescent="0.25">
      <c r="A349" s="1">
        <f t="shared" si="12"/>
        <v>51</v>
      </c>
      <c r="B349" s="6">
        <v>45274</v>
      </c>
      <c r="C349" s="39">
        <f t="shared" si="13"/>
        <v>0</v>
      </c>
      <c r="D349" s="1">
        <v>0</v>
      </c>
      <c r="E349" s="1">
        <v>0</v>
      </c>
      <c r="F349" s="1">
        <v>0</v>
      </c>
      <c r="G349" s="1">
        <v>0</v>
      </c>
      <c r="H349" s="1">
        <v>0</v>
      </c>
      <c r="I349" s="1">
        <v>0</v>
      </c>
      <c r="J349" s="1">
        <v>0</v>
      </c>
      <c r="K349" s="1"/>
      <c r="L349" s="1">
        <v>0</v>
      </c>
    </row>
    <row r="350" spans="1:12" s="4" customFormat="1" x14ac:dyDescent="0.25">
      <c r="A350" s="1">
        <f t="shared" si="12"/>
        <v>51</v>
      </c>
      <c r="B350" s="6">
        <v>45275</v>
      </c>
      <c r="C350" s="39">
        <f t="shared" si="13"/>
        <v>0</v>
      </c>
      <c r="D350" s="1">
        <v>0</v>
      </c>
      <c r="E350" s="1">
        <v>0</v>
      </c>
      <c r="F350" s="1">
        <v>0</v>
      </c>
      <c r="G350" s="1">
        <v>0</v>
      </c>
      <c r="H350" s="1">
        <v>0</v>
      </c>
      <c r="I350" s="1">
        <v>0</v>
      </c>
      <c r="J350" s="1">
        <v>0</v>
      </c>
      <c r="K350" s="1"/>
      <c r="L350" s="1">
        <v>0</v>
      </c>
    </row>
    <row r="351" spans="1:12" s="4" customFormat="1" x14ac:dyDescent="0.25">
      <c r="A351" s="1">
        <f t="shared" si="12"/>
        <v>51</v>
      </c>
      <c r="B351" s="6">
        <v>45276</v>
      </c>
      <c r="C351" s="39">
        <f t="shared" si="13"/>
        <v>0</v>
      </c>
      <c r="D351" s="1">
        <v>0</v>
      </c>
      <c r="E351" s="1">
        <v>0</v>
      </c>
      <c r="F351" s="1">
        <v>0</v>
      </c>
      <c r="G351" s="1">
        <v>0</v>
      </c>
      <c r="H351" s="1">
        <v>0</v>
      </c>
      <c r="I351" s="1">
        <v>0</v>
      </c>
      <c r="J351" s="1">
        <v>0</v>
      </c>
      <c r="K351" s="1"/>
      <c r="L351" s="1">
        <v>0</v>
      </c>
    </row>
    <row r="352" spans="1:12" s="4" customFormat="1" x14ac:dyDescent="0.25">
      <c r="A352" s="1">
        <f t="shared" si="12"/>
        <v>51</v>
      </c>
      <c r="B352" s="6">
        <v>45277</v>
      </c>
      <c r="C352" s="39">
        <f t="shared" si="13"/>
        <v>0</v>
      </c>
      <c r="D352" s="1">
        <v>0</v>
      </c>
      <c r="E352" s="1">
        <v>0</v>
      </c>
      <c r="F352" s="1">
        <v>0</v>
      </c>
      <c r="G352" s="1">
        <v>0</v>
      </c>
      <c r="H352" s="1">
        <v>0</v>
      </c>
      <c r="I352" s="1">
        <v>0</v>
      </c>
      <c r="J352" s="1">
        <v>0</v>
      </c>
      <c r="K352" s="1"/>
      <c r="L352" s="1">
        <v>0</v>
      </c>
    </row>
    <row r="353" spans="1:13" s="4" customFormat="1" x14ac:dyDescent="0.25">
      <c r="A353" s="1">
        <f t="shared" si="12"/>
        <v>52</v>
      </c>
      <c r="B353" s="6">
        <v>45278</v>
      </c>
      <c r="C353" s="39">
        <f t="shared" si="13"/>
        <v>0</v>
      </c>
      <c r="D353" s="1">
        <v>0</v>
      </c>
      <c r="E353" s="1">
        <v>0</v>
      </c>
      <c r="F353" s="1">
        <v>0</v>
      </c>
      <c r="G353" s="1">
        <v>0</v>
      </c>
      <c r="H353" s="1">
        <v>0</v>
      </c>
      <c r="I353" s="1">
        <v>0</v>
      </c>
      <c r="J353" s="1">
        <v>0</v>
      </c>
      <c r="K353" s="1"/>
      <c r="L353" s="1">
        <v>0</v>
      </c>
    </row>
    <row r="354" spans="1:13" s="4" customFormat="1" x14ac:dyDescent="0.25">
      <c r="A354" s="1">
        <f t="shared" si="12"/>
        <v>52</v>
      </c>
      <c r="B354" s="6">
        <v>45279</v>
      </c>
      <c r="C354" s="39">
        <f t="shared" si="13"/>
        <v>0</v>
      </c>
      <c r="D354" s="1">
        <v>0</v>
      </c>
      <c r="E354" s="1">
        <v>0</v>
      </c>
      <c r="F354" s="1">
        <v>0</v>
      </c>
      <c r="G354" s="1">
        <v>0</v>
      </c>
      <c r="H354" s="1">
        <v>0</v>
      </c>
      <c r="I354" s="1">
        <v>0</v>
      </c>
      <c r="J354" s="1">
        <v>0</v>
      </c>
      <c r="K354" s="1"/>
      <c r="L354" s="1">
        <v>0</v>
      </c>
    </row>
    <row r="355" spans="1:13" s="4" customFormat="1" x14ac:dyDescent="0.25">
      <c r="A355" s="1">
        <f t="shared" si="12"/>
        <v>52</v>
      </c>
      <c r="B355" s="6">
        <v>45280</v>
      </c>
      <c r="C355" s="39">
        <f t="shared" si="13"/>
        <v>0</v>
      </c>
      <c r="D355" s="1">
        <v>0</v>
      </c>
      <c r="E355" s="1">
        <v>0</v>
      </c>
      <c r="F355" s="1">
        <v>0</v>
      </c>
      <c r="G355" s="1">
        <v>0</v>
      </c>
      <c r="H355" s="1">
        <v>0</v>
      </c>
      <c r="I355" s="1">
        <v>0</v>
      </c>
      <c r="J355" s="1">
        <v>0</v>
      </c>
      <c r="K355" s="1"/>
      <c r="L355" s="1">
        <v>0</v>
      </c>
    </row>
    <row r="356" spans="1:13" s="4" customFormat="1" x14ac:dyDescent="0.25">
      <c r="A356" s="1">
        <f t="shared" si="12"/>
        <v>52</v>
      </c>
      <c r="B356" s="6">
        <v>45281</v>
      </c>
      <c r="C356" s="39">
        <f t="shared" si="13"/>
        <v>0</v>
      </c>
      <c r="D356" s="1">
        <v>0</v>
      </c>
      <c r="E356" s="1">
        <v>0</v>
      </c>
      <c r="F356" s="1">
        <v>0</v>
      </c>
      <c r="G356" s="1">
        <v>0</v>
      </c>
      <c r="H356" s="1">
        <v>0</v>
      </c>
      <c r="I356" s="1">
        <v>0</v>
      </c>
      <c r="J356" s="1">
        <v>0</v>
      </c>
      <c r="K356" s="1"/>
      <c r="L356" s="1">
        <v>0</v>
      </c>
    </row>
    <row r="357" spans="1:13" s="4" customFormat="1" x14ac:dyDescent="0.25">
      <c r="A357" s="1">
        <f t="shared" si="12"/>
        <v>52</v>
      </c>
      <c r="B357" s="6">
        <v>45282</v>
      </c>
      <c r="C357" s="39">
        <f t="shared" si="13"/>
        <v>0</v>
      </c>
      <c r="D357" s="1">
        <v>0</v>
      </c>
      <c r="E357" s="1">
        <v>0</v>
      </c>
      <c r="F357" s="1">
        <v>0</v>
      </c>
      <c r="G357" s="1">
        <v>0</v>
      </c>
      <c r="H357" s="1">
        <v>0</v>
      </c>
      <c r="I357" s="1">
        <v>0</v>
      </c>
      <c r="J357" s="1">
        <v>0</v>
      </c>
      <c r="K357" s="1"/>
      <c r="L357" s="1">
        <v>0</v>
      </c>
    </row>
    <row r="358" spans="1:13" s="4" customFormat="1" x14ac:dyDescent="0.25">
      <c r="A358" s="1">
        <f t="shared" si="12"/>
        <v>52</v>
      </c>
      <c r="B358" s="6">
        <v>45283</v>
      </c>
      <c r="C358" s="39">
        <f t="shared" si="13"/>
        <v>0</v>
      </c>
      <c r="D358" s="1">
        <v>0</v>
      </c>
      <c r="E358" s="1">
        <v>0</v>
      </c>
      <c r="F358" s="1">
        <v>0</v>
      </c>
      <c r="G358" s="1">
        <v>0</v>
      </c>
      <c r="H358" s="1">
        <v>0</v>
      </c>
      <c r="I358" s="1">
        <v>0</v>
      </c>
      <c r="J358" s="1">
        <v>0</v>
      </c>
      <c r="K358" s="1"/>
      <c r="L358" s="1">
        <v>0</v>
      </c>
    </row>
    <row r="359" spans="1:13" s="4" customFormat="1" x14ac:dyDescent="0.25">
      <c r="A359" s="1">
        <f t="shared" si="12"/>
        <v>52</v>
      </c>
      <c r="B359" s="6">
        <v>45284</v>
      </c>
      <c r="C359" s="39">
        <f t="shared" si="13"/>
        <v>0</v>
      </c>
      <c r="D359" s="1">
        <v>0</v>
      </c>
      <c r="E359" s="1">
        <v>0</v>
      </c>
      <c r="F359" s="1">
        <v>0</v>
      </c>
      <c r="G359" s="1">
        <v>0</v>
      </c>
      <c r="H359" s="1">
        <v>0</v>
      </c>
      <c r="I359" s="1">
        <v>0</v>
      </c>
      <c r="J359" s="1">
        <v>0</v>
      </c>
      <c r="K359" s="1"/>
      <c r="L359" s="1">
        <v>0</v>
      </c>
    </row>
    <row r="360" spans="1:13" s="4" customFormat="1" x14ac:dyDescent="0.25">
      <c r="A360" s="1">
        <f t="shared" si="12"/>
        <v>53</v>
      </c>
      <c r="B360" s="6">
        <v>45285</v>
      </c>
      <c r="C360" s="39">
        <f t="shared" si="13"/>
        <v>0</v>
      </c>
      <c r="D360" s="1">
        <v>0</v>
      </c>
      <c r="E360" s="1">
        <v>0</v>
      </c>
      <c r="F360" s="1">
        <v>0</v>
      </c>
      <c r="G360" s="1">
        <v>0</v>
      </c>
      <c r="H360" s="1">
        <v>0</v>
      </c>
      <c r="I360" s="1">
        <v>0</v>
      </c>
      <c r="J360" s="1">
        <v>0</v>
      </c>
      <c r="K360" s="1"/>
      <c r="L360" s="1">
        <v>0</v>
      </c>
    </row>
    <row r="361" spans="1:13" s="4" customFormat="1" x14ac:dyDescent="0.25">
      <c r="A361" s="1">
        <f t="shared" si="12"/>
        <v>53</v>
      </c>
      <c r="B361" s="6">
        <v>45286</v>
      </c>
      <c r="C361" s="39">
        <f t="shared" si="13"/>
        <v>0</v>
      </c>
      <c r="D361" s="1">
        <v>0</v>
      </c>
      <c r="E361" s="1">
        <v>0</v>
      </c>
      <c r="F361" s="1">
        <v>0</v>
      </c>
      <c r="G361" s="1">
        <v>0</v>
      </c>
      <c r="H361" s="1">
        <v>0</v>
      </c>
      <c r="I361" s="1">
        <v>0</v>
      </c>
      <c r="J361" s="1">
        <v>0</v>
      </c>
      <c r="K361" s="1"/>
      <c r="L361" s="1">
        <v>0</v>
      </c>
    </row>
    <row r="362" spans="1:13" s="4" customFormat="1" x14ac:dyDescent="0.25">
      <c r="A362" s="1">
        <f t="shared" si="12"/>
        <v>53</v>
      </c>
      <c r="B362" s="6">
        <v>45287</v>
      </c>
      <c r="C362" s="39">
        <f t="shared" si="13"/>
        <v>0</v>
      </c>
      <c r="D362" s="1">
        <v>0</v>
      </c>
      <c r="E362" s="1">
        <v>0</v>
      </c>
      <c r="F362" s="1">
        <v>0</v>
      </c>
      <c r="G362" s="1">
        <v>0</v>
      </c>
      <c r="H362" s="1">
        <v>0</v>
      </c>
      <c r="I362" s="1">
        <v>0</v>
      </c>
      <c r="J362" s="1">
        <v>0</v>
      </c>
      <c r="K362" s="1"/>
      <c r="L362" s="1">
        <v>0</v>
      </c>
    </row>
    <row r="363" spans="1:13" s="4" customFormat="1" x14ac:dyDescent="0.25">
      <c r="A363" s="1">
        <f t="shared" si="12"/>
        <v>53</v>
      </c>
      <c r="B363" s="6">
        <v>45288</v>
      </c>
      <c r="C363" s="39">
        <f t="shared" si="13"/>
        <v>0</v>
      </c>
      <c r="D363" s="1">
        <v>0</v>
      </c>
      <c r="E363" s="1">
        <v>0</v>
      </c>
      <c r="F363" s="1">
        <v>0</v>
      </c>
      <c r="G363" s="1">
        <v>0</v>
      </c>
      <c r="H363" s="1">
        <v>0</v>
      </c>
      <c r="I363" s="1">
        <v>0</v>
      </c>
      <c r="J363" s="1">
        <v>0</v>
      </c>
      <c r="K363" s="1"/>
      <c r="L363" s="1">
        <v>0</v>
      </c>
    </row>
    <row r="364" spans="1:13" s="4" customFormat="1" x14ac:dyDescent="0.25">
      <c r="A364" s="1">
        <f t="shared" si="12"/>
        <v>53</v>
      </c>
      <c r="B364" s="6">
        <v>45289</v>
      </c>
      <c r="C364" s="39">
        <f t="shared" si="13"/>
        <v>0</v>
      </c>
      <c r="D364" s="1">
        <v>0</v>
      </c>
      <c r="E364" s="1">
        <v>0</v>
      </c>
      <c r="F364" s="1">
        <v>0</v>
      </c>
      <c r="G364" s="1">
        <v>0</v>
      </c>
      <c r="H364" s="1">
        <v>0</v>
      </c>
      <c r="I364" s="1">
        <v>0</v>
      </c>
      <c r="J364" s="1">
        <v>0</v>
      </c>
      <c r="K364" s="1"/>
      <c r="L364" s="1">
        <v>0</v>
      </c>
    </row>
    <row r="365" spans="1:13" s="4" customFormat="1" x14ac:dyDescent="0.25">
      <c r="A365" s="18">
        <f t="shared" si="12"/>
        <v>53</v>
      </c>
      <c r="B365" s="6">
        <v>45290</v>
      </c>
      <c r="C365" s="39">
        <f t="shared" si="13"/>
        <v>0</v>
      </c>
      <c r="D365" s="1">
        <v>0</v>
      </c>
      <c r="E365" s="1">
        <v>0</v>
      </c>
      <c r="F365" s="1">
        <v>0</v>
      </c>
      <c r="G365" s="1">
        <v>0</v>
      </c>
      <c r="H365" s="1">
        <v>0</v>
      </c>
      <c r="I365" s="1">
        <v>0</v>
      </c>
      <c r="J365" s="1">
        <v>0</v>
      </c>
      <c r="K365" s="1"/>
      <c r="L365" s="1">
        <v>0</v>
      </c>
    </row>
    <row r="366" spans="1:13" s="4" customFormat="1" x14ac:dyDescent="0.25">
      <c r="B366" s="6">
        <v>45291</v>
      </c>
      <c r="C366" s="39">
        <f t="shared" si="13"/>
        <v>0</v>
      </c>
      <c r="D366" s="1">
        <v>0</v>
      </c>
      <c r="E366" s="1">
        <v>0</v>
      </c>
      <c r="F366" s="1">
        <v>0</v>
      </c>
      <c r="G366" s="1">
        <v>0</v>
      </c>
      <c r="H366" s="1">
        <v>0</v>
      </c>
      <c r="I366" s="1">
        <v>0</v>
      </c>
      <c r="J366" s="1">
        <v>0</v>
      </c>
      <c r="K366" s="1"/>
      <c r="L366" s="1">
        <v>0</v>
      </c>
      <c r="M366" s="4">
        <f>SUM(C336:C366)</f>
        <v>0</v>
      </c>
    </row>
    <row r="367" spans="1:13" ht="30" x14ac:dyDescent="0.25">
      <c r="B367" s="27" t="s">
        <v>20</v>
      </c>
      <c r="C367" s="35"/>
      <c r="D367" s="3">
        <f>SUM(D2:D366)</f>
        <v>306.84000000000003</v>
      </c>
      <c r="E367" s="3">
        <f t="shared" ref="E367:M367" si="14">SUM(E2:E366)</f>
        <v>312.75</v>
      </c>
      <c r="F367" s="3">
        <f t="shared" si="14"/>
        <v>0</v>
      </c>
      <c r="G367" s="3">
        <f t="shared" si="14"/>
        <v>338.15999999999997</v>
      </c>
      <c r="H367" s="3">
        <f t="shared" si="14"/>
        <v>0</v>
      </c>
      <c r="I367" s="3"/>
      <c r="J367" s="3">
        <f t="shared" si="14"/>
        <v>245.48</v>
      </c>
      <c r="K367" s="3"/>
      <c r="L367" s="3">
        <f t="shared" si="14"/>
        <v>332</v>
      </c>
      <c r="M367" s="28">
        <f t="shared" si="14"/>
        <v>310.9785714285714</v>
      </c>
    </row>
    <row r="368" spans="1:13" x14ac:dyDescent="0.25">
      <c r="D368" s="18"/>
      <c r="E368" s="18"/>
      <c r="F368" s="18"/>
      <c r="G368" s="18"/>
      <c r="H368" s="18"/>
      <c r="I368" s="18"/>
      <c r="J368" s="18"/>
      <c r="K368" s="18"/>
      <c r="L368" s="18"/>
    </row>
    <row r="369" spans="4:12" x14ac:dyDescent="0.25">
      <c r="D369" s="4"/>
      <c r="E369" s="4"/>
      <c r="F369" s="4"/>
      <c r="G369" s="4"/>
      <c r="H369" s="4"/>
      <c r="I369" s="4"/>
      <c r="J369" s="4"/>
      <c r="K369" s="4"/>
      <c r="L369" s="4"/>
    </row>
    <row r="370" spans="4:12" x14ac:dyDescent="0.25">
      <c r="D370" s="4"/>
      <c r="E370" s="4"/>
      <c r="F370" s="4"/>
      <c r="G370" s="4"/>
      <c r="H370" s="4"/>
      <c r="I370" s="4"/>
      <c r="J370" s="4"/>
      <c r="K370" s="4"/>
      <c r="L370" s="4"/>
    </row>
    <row r="371" spans="4:12" x14ac:dyDescent="0.25">
      <c r="D371" s="4"/>
      <c r="E371" s="4"/>
      <c r="F371" s="4"/>
      <c r="G371" s="4"/>
      <c r="H371" s="4"/>
      <c r="I371" s="4"/>
      <c r="J371" s="4"/>
      <c r="K371" s="4"/>
      <c r="L371" s="4"/>
    </row>
    <row r="372" spans="4:12" x14ac:dyDescent="0.25">
      <c r="D372" s="4"/>
      <c r="E372" s="4"/>
      <c r="F372" s="4"/>
      <c r="G372" s="4"/>
      <c r="H372" s="4"/>
      <c r="I372" s="4"/>
      <c r="J372" s="4"/>
      <c r="K372" s="4"/>
      <c r="L372" s="4"/>
    </row>
    <row r="373" spans="4:12" x14ac:dyDescent="0.25">
      <c r="D373" s="4"/>
      <c r="E373" s="4"/>
      <c r="F373" s="4"/>
      <c r="G373" s="4"/>
      <c r="H373" s="4"/>
      <c r="I373" s="4"/>
      <c r="J373" s="4"/>
      <c r="K373" s="4"/>
      <c r="L373" s="4"/>
    </row>
    <row r="374" spans="4:12" x14ac:dyDescent="0.25">
      <c r="D374" s="4"/>
      <c r="E374" s="4"/>
      <c r="F374" s="4"/>
      <c r="G374" s="4"/>
      <c r="H374" s="4"/>
      <c r="I374" s="4"/>
      <c r="J374" s="4"/>
      <c r="K374" s="4"/>
      <c r="L374" s="4"/>
    </row>
    <row r="375" spans="4:12" x14ac:dyDescent="0.25">
      <c r="D375" s="4"/>
      <c r="E375" s="4"/>
      <c r="F375" s="4"/>
      <c r="G375" s="4"/>
      <c r="H375" s="4"/>
      <c r="I375" s="4"/>
      <c r="J375" s="4"/>
      <c r="K375" s="4"/>
      <c r="L375" s="4"/>
    </row>
    <row r="376" spans="4:12" x14ac:dyDescent="0.25">
      <c r="D376" s="4"/>
      <c r="E376" s="4"/>
      <c r="F376" s="4"/>
      <c r="G376" s="4"/>
      <c r="H376" s="4"/>
      <c r="I376" s="4"/>
      <c r="J376" s="4"/>
      <c r="K376" s="4"/>
      <c r="L376" s="4"/>
    </row>
    <row r="377" spans="4:12" x14ac:dyDescent="0.25">
      <c r="D377" s="4"/>
      <c r="E377" s="4"/>
      <c r="F377" s="4"/>
      <c r="G377" s="4"/>
      <c r="H377" s="4"/>
      <c r="I377" s="4"/>
      <c r="J377" s="4"/>
      <c r="K377" s="4"/>
      <c r="L377" s="4"/>
    </row>
    <row r="378" spans="4:12" x14ac:dyDescent="0.25">
      <c r="D378" s="4"/>
      <c r="E378" s="4"/>
      <c r="F378" s="4"/>
      <c r="G378" s="4"/>
      <c r="H378" s="4"/>
      <c r="I378" s="4"/>
      <c r="J378" s="4"/>
      <c r="K378" s="4"/>
      <c r="L378" s="4"/>
    </row>
    <row r="379" spans="4:12" x14ac:dyDescent="0.25">
      <c r="D379" s="4"/>
      <c r="E379" s="4"/>
      <c r="F379" s="4"/>
      <c r="G379" s="4"/>
      <c r="H379" s="4"/>
      <c r="I379" s="4"/>
      <c r="J379" s="4"/>
      <c r="K379" s="4"/>
      <c r="L379" s="4"/>
    </row>
    <row r="380" spans="4:12" x14ac:dyDescent="0.25">
      <c r="D380" s="4"/>
      <c r="E380" s="4"/>
      <c r="F380" s="4"/>
      <c r="G380" s="4"/>
      <c r="H380" s="4"/>
      <c r="I380" s="4"/>
      <c r="J380" s="4"/>
      <c r="K380" s="4"/>
      <c r="L380" s="4"/>
    </row>
    <row r="381" spans="4:12" x14ac:dyDescent="0.25">
      <c r="D381" s="4"/>
      <c r="E381" s="4"/>
      <c r="F381" s="4"/>
      <c r="G381" s="4"/>
      <c r="H381" s="4"/>
      <c r="I381" s="4"/>
      <c r="J381" s="4"/>
      <c r="K381" s="4"/>
      <c r="L381" s="4"/>
    </row>
    <row r="382" spans="4:12" x14ac:dyDescent="0.25">
      <c r="D382" s="4"/>
      <c r="E382" s="4"/>
      <c r="F382" s="4"/>
      <c r="G382" s="4"/>
      <c r="H382" s="4"/>
      <c r="I382" s="4"/>
      <c r="J382" s="4"/>
      <c r="K382" s="4"/>
      <c r="L382" s="4"/>
    </row>
    <row r="383" spans="4:12" x14ac:dyDescent="0.25">
      <c r="D383" s="4"/>
      <c r="E383" s="4"/>
      <c r="F383" s="4"/>
      <c r="G383" s="4"/>
      <c r="H383" s="4"/>
      <c r="I383" s="4"/>
      <c r="J383" s="4"/>
      <c r="K383" s="4"/>
      <c r="L383" s="4"/>
    </row>
    <row r="384" spans="4:12" x14ac:dyDescent="0.25">
      <c r="D384" s="4"/>
      <c r="E384" s="4"/>
      <c r="F384" s="4"/>
      <c r="G384" s="4"/>
      <c r="H384" s="4"/>
      <c r="I384" s="4"/>
      <c r="J384" s="4"/>
      <c r="K384" s="4"/>
      <c r="L384" s="4"/>
    </row>
    <row r="385" spans="4:12" x14ac:dyDescent="0.25">
      <c r="D385" s="4"/>
      <c r="E385" s="4"/>
      <c r="F385" s="4"/>
      <c r="G385" s="4"/>
      <c r="H385" s="4"/>
      <c r="I385" s="4"/>
      <c r="J385" s="4"/>
      <c r="K385" s="4"/>
      <c r="L385" s="4"/>
    </row>
    <row r="386" spans="4:12" x14ac:dyDescent="0.25">
      <c r="D386" s="4"/>
      <c r="E386" s="4"/>
      <c r="F386" s="4"/>
      <c r="G386" s="4"/>
      <c r="H386" s="4"/>
      <c r="I386" s="4"/>
      <c r="J386" s="4"/>
      <c r="K386" s="4"/>
      <c r="L386" s="4"/>
    </row>
    <row r="387" spans="4:12" x14ac:dyDescent="0.25">
      <c r="D387" s="4"/>
      <c r="E387" s="4"/>
      <c r="F387" s="4"/>
      <c r="G387" s="4"/>
      <c r="H387" s="4"/>
      <c r="I387" s="4"/>
      <c r="J387" s="4"/>
      <c r="K387" s="4"/>
      <c r="L387" s="4"/>
    </row>
    <row r="388" spans="4:12" x14ac:dyDescent="0.25">
      <c r="D388" s="4"/>
      <c r="E388" s="4"/>
      <c r="F388" s="4"/>
      <c r="G388" s="4"/>
      <c r="H388" s="4"/>
      <c r="I388" s="4"/>
      <c r="J388" s="4"/>
      <c r="K388" s="4"/>
      <c r="L388" s="4"/>
    </row>
    <row r="389" spans="4:12" x14ac:dyDescent="0.25">
      <c r="D389" s="4"/>
      <c r="E389" s="4"/>
      <c r="F389" s="4"/>
      <c r="G389" s="4"/>
      <c r="H389" s="4"/>
      <c r="I389" s="4"/>
      <c r="J389" s="4"/>
      <c r="K389" s="4"/>
      <c r="L389" s="4"/>
    </row>
    <row r="390" spans="4:12" x14ac:dyDescent="0.25">
      <c r="D390" s="4"/>
      <c r="E390" s="4"/>
      <c r="F390" s="4"/>
      <c r="G390" s="4"/>
      <c r="H390" s="4"/>
      <c r="I390" s="4"/>
      <c r="J390" s="4"/>
      <c r="K390" s="4"/>
      <c r="L390" s="4"/>
    </row>
    <row r="391" spans="4:12" x14ac:dyDescent="0.25">
      <c r="D391" s="4"/>
      <c r="E391" s="4"/>
      <c r="F391" s="4"/>
      <c r="G391" s="4"/>
      <c r="H391" s="4"/>
      <c r="I391" s="4"/>
      <c r="J391" s="4"/>
      <c r="K391" s="4"/>
      <c r="L391" s="4"/>
    </row>
    <row r="392" spans="4:12" x14ac:dyDescent="0.25">
      <c r="D392" s="4"/>
      <c r="E392" s="4"/>
      <c r="F392" s="4"/>
      <c r="G392" s="4"/>
      <c r="H392" s="4"/>
      <c r="I392" s="4"/>
      <c r="J392" s="4"/>
      <c r="K392" s="4"/>
      <c r="L392" s="4"/>
    </row>
    <row r="393" spans="4:12" x14ac:dyDescent="0.25">
      <c r="D393" s="4"/>
      <c r="E393" s="4"/>
      <c r="F393" s="4"/>
      <c r="G393" s="4"/>
      <c r="H393" s="4"/>
      <c r="I393" s="4"/>
      <c r="J393" s="4"/>
      <c r="K393" s="4"/>
      <c r="L393" s="4"/>
    </row>
    <row r="394" spans="4:12" x14ac:dyDescent="0.25">
      <c r="D394" s="4"/>
      <c r="E394" s="4"/>
      <c r="F394" s="4"/>
      <c r="G394" s="4"/>
      <c r="H394" s="4"/>
      <c r="I394" s="4"/>
      <c r="J394" s="4"/>
      <c r="K394" s="4"/>
      <c r="L394" s="4"/>
    </row>
    <row r="395" spans="4:12" x14ac:dyDescent="0.25">
      <c r="D395" s="4"/>
      <c r="E395" s="4"/>
      <c r="F395" s="4"/>
      <c r="G395" s="4"/>
      <c r="H395" s="4"/>
      <c r="I395" s="4"/>
      <c r="J395" s="4"/>
      <c r="K395" s="4"/>
      <c r="L395" s="4"/>
    </row>
    <row r="396" spans="4:12" x14ac:dyDescent="0.25">
      <c r="D396" s="4"/>
      <c r="E396" s="4"/>
      <c r="F396" s="4"/>
      <c r="G396" s="4"/>
      <c r="H396" s="4"/>
      <c r="I396" s="4"/>
      <c r="J396" s="4"/>
      <c r="K396" s="4"/>
      <c r="L396" s="4"/>
    </row>
    <row r="397" spans="4:12" x14ac:dyDescent="0.25">
      <c r="D397" s="4"/>
      <c r="E397" s="4"/>
      <c r="F397" s="4"/>
      <c r="G397" s="4"/>
      <c r="H397" s="4"/>
      <c r="I397" s="4"/>
      <c r="J397" s="4"/>
      <c r="K397" s="4"/>
      <c r="L397" s="4"/>
    </row>
    <row r="398" spans="4:12" x14ac:dyDescent="0.25">
      <c r="D398" s="4"/>
      <c r="E398" s="4"/>
      <c r="F398" s="4"/>
      <c r="G398" s="4"/>
      <c r="H398" s="4"/>
      <c r="I398" s="4"/>
      <c r="J398" s="4"/>
      <c r="K398" s="4"/>
      <c r="L398" s="4"/>
    </row>
    <row r="399" spans="4:12" x14ac:dyDescent="0.25">
      <c r="D399" s="4"/>
      <c r="E399" s="4"/>
      <c r="F399" s="4"/>
      <c r="G399" s="4"/>
      <c r="H399" s="4"/>
      <c r="I399" s="4"/>
      <c r="J399" s="4"/>
      <c r="K399" s="4"/>
      <c r="L399" s="4"/>
    </row>
    <row r="400" spans="4:12" x14ac:dyDescent="0.25">
      <c r="D400" s="4"/>
      <c r="E400" s="4"/>
      <c r="F400" s="4"/>
      <c r="G400" s="4"/>
      <c r="H400" s="4"/>
      <c r="I400" s="4"/>
      <c r="J400" s="4"/>
      <c r="K400" s="4"/>
      <c r="L400" s="4"/>
    </row>
    <row r="401" spans="4:12" x14ac:dyDescent="0.25">
      <c r="D401" s="4"/>
      <c r="E401" s="4"/>
      <c r="F401" s="4"/>
      <c r="G401" s="4"/>
      <c r="H401" s="4"/>
      <c r="I401" s="4"/>
      <c r="J401" s="4"/>
      <c r="K401" s="4"/>
      <c r="L401" s="4"/>
    </row>
    <row r="402" spans="4:12" x14ac:dyDescent="0.25">
      <c r="D402" s="4"/>
      <c r="E402" s="4"/>
      <c r="F402" s="4"/>
      <c r="G402" s="4"/>
      <c r="H402" s="4"/>
      <c r="I402" s="4"/>
      <c r="J402" s="4"/>
      <c r="K402" s="4"/>
      <c r="L402" s="4"/>
    </row>
    <row r="403" spans="4:12" x14ac:dyDescent="0.25">
      <c r="D403" s="4"/>
      <c r="E403" s="4"/>
      <c r="F403" s="4"/>
      <c r="G403" s="4"/>
      <c r="H403" s="4"/>
      <c r="I403" s="4"/>
      <c r="J403" s="4"/>
      <c r="K403" s="4"/>
      <c r="L403" s="4"/>
    </row>
    <row r="404" spans="4:12" x14ac:dyDescent="0.25">
      <c r="D404" s="4"/>
      <c r="E404" s="4"/>
      <c r="F404" s="4"/>
      <c r="G404" s="4"/>
      <c r="H404" s="4"/>
      <c r="I404" s="4"/>
      <c r="J404" s="4"/>
      <c r="K404" s="4"/>
      <c r="L404" s="4"/>
    </row>
    <row r="405" spans="4:12" x14ac:dyDescent="0.25">
      <c r="D405" s="4"/>
      <c r="E405" s="4"/>
      <c r="F405" s="4"/>
      <c r="G405" s="4"/>
      <c r="H405" s="4"/>
      <c r="I405" s="4"/>
      <c r="J405" s="4"/>
      <c r="K405" s="4"/>
      <c r="L405" s="4"/>
    </row>
    <row r="406" spans="4:12" x14ac:dyDescent="0.25">
      <c r="D406" s="4"/>
      <c r="E406" s="4"/>
      <c r="F406" s="4"/>
      <c r="G406" s="4"/>
      <c r="H406" s="4"/>
      <c r="I406" s="4"/>
      <c r="J406" s="4"/>
      <c r="K406" s="4"/>
      <c r="L406" s="4"/>
    </row>
    <row r="407" spans="4:12" x14ac:dyDescent="0.25">
      <c r="D407" s="4"/>
      <c r="E407" s="4"/>
      <c r="F407" s="4"/>
      <c r="G407" s="4"/>
      <c r="H407" s="4"/>
      <c r="I407" s="4"/>
      <c r="J407" s="4"/>
      <c r="K407" s="4"/>
      <c r="L407" s="4"/>
    </row>
    <row r="408" spans="4:12" x14ac:dyDescent="0.25">
      <c r="D408" s="4"/>
      <c r="E408" s="4"/>
      <c r="F408" s="4"/>
      <c r="G408" s="4"/>
      <c r="H408" s="4"/>
      <c r="I408" s="4"/>
      <c r="J408" s="4"/>
      <c r="K408" s="4"/>
      <c r="L408" s="4"/>
    </row>
    <row r="409" spans="4:12" x14ac:dyDescent="0.25">
      <c r="D409" s="4"/>
      <c r="E409" s="4"/>
      <c r="F409" s="4"/>
      <c r="G409" s="4"/>
      <c r="H409" s="4"/>
      <c r="I409" s="4"/>
      <c r="J409" s="4"/>
      <c r="K409" s="4"/>
      <c r="L409" s="4"/>
    </row>
    <row r="410" spans="4:12" x14ac:dyDescent="0.25">
      <c r="D410" s="4"/>
      <c r="E410" s="4"/>
      <c r="F410" s="4"/>
      <c r="G410" s="4"/>
      <c r="H410" s="4"/>
      <c r="I410" s="4"/>
      <c r="J410" s="4"/>
      <c r="K410" s="4"/>
      <c r="L410" s="4"/>
    </row>
    <row r="411" spans="4:12" x14ac:dyDescent="0.25">
      <c r="D411" s="4"/>
      <c r="E411" s="4"/>
      <c r="F411" s="4"/>
      <c r="G411" s="4"/>
      <c r="H411" s="4"/>
      <c r="I411" s="4"/>
      <c r="J411" s="4"/>
      <c r="K411" s="4"/>
      <c r="L411" s="4"/>
    </row>
    <row r="412" spans="4:12" x14ac:dyDescent="0.25">
      <c r="D412" s="4"/>
      <c r="E412" s="4"/>
      <c r="F412" s="4"/>
      <c r="G412" s="4"/>
      <c r="H412" s="4"/>
      <c r="I412" s="4"/>
      <c r="J412" s="4"/>
      <c r="K412" s="4"/>
      <c r="L412" s="4"/>
    </row>
    <row r="413" spans="4:12" x14ac:dyDescent="0.25">
      <c r="D413" s="4"/>
      <c r="E413" s="4"/>
      <c r="F413" s="4"/>
      <c r="G413" s="4"/>
      <c r="H413" s="4"/>
      <c r="I413" s="4"/>
      <c r="J413" s="4"/>
      <c r="K413" s="4"/>
      <c r="L413" s="4"/>
    </row>
    <row r="414" spans="4:12" x14ac:dyDescent="0.25">
      <c r="D414" s="4"/>
      <c r="E414" s="4"/>
      <c r="F414" s="4"/>
      <c r="G414" s="4"/>
      <c r="H414" s="4"/>
      <c r="I414" s="4"/>
      <c r="J414" s="4"/>
      <c r="K414" s="4"/>
      <c r="L414" s="4"/>
    </row>
    <row r="415" spans="4:12" x14ac:dyDescent="0.25">
      <c r="D415" s="4"/>
      <c r="E415" s="4"/>
      <c r="F415" s="4"/>
      <c r="G415" s="4"/>
      <c r="H415" s="4"/>
      <c r="I415" s="4"/>
      <c r="J415" s="4"/>
      <c r="K415" s="4"/>
      <c r="L415" s="4"/>
    </row>
    <row r="416" spans="4:12" x14ac:dyDescent="0.25">
      <c r="D416" s="4"/>
      <c r="E416" s="4"/>
      <c r="F416" s="4"/>
      <c r="G416" s="4"/>
      <c r="H416" s="4"/>
      <c r="I416" s="4"/>
      <c r="J416" s="4"/>
      <c r="K416" s="4"/>
      <c r="L416" s="4"/>
    </row>
    <row r="417" spans="4:12" x14ac:dyDescent="0.25">
      <c r="D417" s="4"/>
      <c r="E417" s="4"/>
      <c r="F417" s="4"/>
      <c r="G417" s="4"/>
      <c r="H417" s="4"/>
      <c r="I417" s="4"/>
      <c r="J417" s="4"/>
      <c r="K417" s="4"/>
      <c r="L417" s="4"/>
    </row>
    <row r="418" spans="4:12" x14ac:dyDescent="0.25">
      <c r="D418" s="4"/>
      <c r="E418" s="4"/>
      <c r="F418" s="4"/>
      <c r="G418" s="4"/>
      <c r="H418" s="4"/>
      <c r="I418" s="4"/>
      <c r="J418" s="4"/>
      <c r="K418" s="4"/>
      <c r="L418" s="4"/>
    </row>
    <row r="419" spans="4:12" x14ac:dyDescent="0.25">
      <c r="D419" s="4"/>
      <c r="E419" s="4"/>
      <c r="F419" s="4"/>
      <c r="G419" s="4"/>
      <c r="H419" s="4"/>
      <c r="I419" s="4"/>
      <c r="J419" s="4"/>
      <c r="K419" s="4"/>
      <c r="L419" s="4"/>
    </row>
    <row r="420" spans="4:12" x14ac:dyDescent="0.25">
      <c r="D420" s="4"/>
      <c r="E420" s="4"/>
      <c r="F420" s="4"/>
      <c r="G420" s="4"/>
      <c r="H420" s="4"/>
      <c r="I420" s="4"/>
      <c r="J420" s="4"/>
      <c r="K420" s="4"/>
      <c r="L420" s="4"/>
    </row>
    <row r="421" spans="4:12" x14ac:dyDescent="0.25">
      <c r="D421" s="4"/>
      <c r="E421" s="4"/>
      <c r="F421" s="4"/>
      <c r="G421" s="4"/>
      <c r="H421" s="4"/>
      <c r="I421" s="4"/>
      <c r="J421" s="4"/>
      <c r="K421" s="4"/>
      <c r="L421" s="4"/>
    </row>
    <row r="422" spans="4:12" x14ac:dyDescent="0.25">
      <c r="D422" s="4"/>
      <c r="E422" s="4"/>
      <c r="F422" s="4"/>
      <c r="G422" s="4"/>
      <c r="H422" s="4"/>
      <c r="I422" s="4"/>
      <c r="J422" s="4"/>
      <c r="K422" s="4"/>
      <c r="L422" s="4"/>
    </row>
    <row r="423" spans="4:12" x14ac:dyDescent="0.25">
      <c r="D423" s="4"/>
      <c r="E423" s="4"/>
      <c r="F423" s="4"/>
      <c r="G423" s="4"/>
      <c r="H423" s="4"/>
      <c r="I423" s="4"/>
      <c r="J423" s="4"/>
      <c r="K423" s="4"/>
      <c r="L423" s="4"/>
    </row>
    <row r="424" spans="4:12" x14ac:dyDescent="0.25">
      <c r="D424" s="4"/>
      <c r="E424" s="4"/>
      <c r="F424" s="4"/>
      <c r="G424" s="4"/>
      <c r="H424" s="4"/>
      <c r="I424" s="4"/>
      <c r="J424" s="4"/>
      <c r="K424" s="4"/>
      <c r="L424" s="4"/>
    </row>
    <row r="425" spans="4:12" x14ac:dyDescent="0.25">
      <c r="D425" s="4"/>
      <c r="E425" s="4"/>
      <c r="F425" s="4"/>
      <c r="G425" s="4"/>
      <c r="H425" s="4"/>
      <c r="I425" s="4"/>
      <c r="J425" s="4"/>
      <c r="K425" s="4"/>
      <c r="L425" s="4"/>
    </row>
    <row r="426" spans="4:12" x14ac:dyDescent="0.25">
      <c r="D426" s="4"/>
      <c r="E426" s="4"/>
      <c r="F426" s="4"/>
      <c r="G426" s="4"/>
      <c r="H426" s="4"/>
      <c r="I426" s="4"/>
      <c r="J426" s="4"/>
      <c r="K426" s="4"/>
      <c r="L426" s="4"/>
    </row>
    <row r="427" spans="4:12" x14ac:dyDescent="0.25">
      <c r="D427" s="4"/>
      <c r="E427" s="4"/>
      <c r="F427" s="4"/>
      <c r="G427" s="4"/>
      <c r="H427" s="4"/>
      <c r="I427" s="4"/>
      <c r="J427" s="4"/>
      <c r="K427" s="4"/>
      <c r="L427" s="4"/>
    </row>
    <row r="428" spans="4:12" x14ac:dyDescent="0.25">
      <c r="D428" s="4"/>
      <c r="E428" s="4"/>
      <c r="F428" s="4"/>
      <c r="G428" s="4"/>
      <c r="H428" s="4"/>
      <c r="I428" s="4"/>
      <c r="J428" s="4"/>
      <c r="K428" s="4"/>
      <c r="L428" s="4"/>
    </row>
    <row r="429" spans="4:12" x14ac:dyDescent="0.25">
      <c r="D429" s="4"/>
      <c r="E429" s="4"/>
      <c r="F429" s="4"/>
      <c r="G429" s="4"/>
      <c r="H429" s="4"/>
      <c r="I429" s="4"/>
      <c r="J429" s="4"/>
      <c r="K429" s="4"/>
      <c r="L429" s="4"/>
    </row>
    <row r="430" spans="4:12" x14ac:dyDescent="0.25">
      <c r="D430" s="4"/>
      <c r="E430" s="4"/>
      <c r="F430" s="4"/>
      <c r="G430" s="4"/>
      <c r="H430" s="4"/>
      <c r="I430" s="4"/>
      <c r="J430" s="4"/>
      <c r="K430" s="4"/>
      <c r="L430" s="4"/>
    </row>
    <row r="431" spans="4:12" x14ac:dyDescent="0.25">
      <c r="D431" s="4"/>
      <c r="E431" s="4"/>
      <c r="F431" s="4"/>
      <c r="G431" s="4"/>
      <c r="H431" s="4"/>
      <c r="I431" s="4"/>
      <c r="J431" s="4"/>
      <c r="K431" s="4"/>
      <c r="L431" s="4"/>
    </row>
    <row r="432" spans="4:12" x14ac:dyDescent="0.25">
      <c r="D432" s="4"/>
      <c r="E432" s="4"/>
      <c r="F432" s="4"/>
      <c r="G432" s="4"/>
      <c r="H432" s="4"/>
      <c r="I432" s="4"/>
      <c r="J432" s="4"/>
      <c r="K432" s="4"/>
      <c r="L432" s="4"/>
    </row>
    <row r="433" spans="4:12" x14ac:dyDescent="0.25">
      <c r="D433" s="4"/>
      <c r="E433" s="4"/>
      <c r="F433" s="4"/>
      <c r="G433" s="4"/>
      <c r="H433" s="4"/>
      <c r="I433" s="4"/>
      <c r="J433" s="4"/>
      <c r="K433" s="4"/>
      <c r="L433" s="4"/>
    </row>
    <row r="434" spans="4:12" x14ac:dyDescent="0.25">
      <c r="D434" s="4"/>
      <c r="E434" s="4"/>
      <c r="F434" s="4"/>
      <c r="G434" s="4"/>
      <c r="H434" s="4"/>
      <c r="I434" s="4"/>
      <c r="J434" s="4"/>
      <c r="K434" s="4"/>
      <c r="L434" s="4"/>
    </row>
    <row r="435" spans="4:12" x14ac:dyDescent="0.25">
      <c r="D435" s="4"/>
      <c r="E435" s="4"/>
      <c r="F435" s="4"/>
      <c r="G435" s="4"/>
      <c r="H435" s="4"/>
      <c r="I435" s="4"/>
      <c r="J435" s="4"/>
      <c r="K435" s="4"/>
      <c r="L435" s="4"/>
    </row>
    <row r="436" spans="4:12" x14ac:dyDescent="0.25">
      <c r="D436" s="4"/>
      <c r="E436" s="4"/>
      <c r="F436" s="4"/>
      <c r="G436" s="4"/>
      <c r="H436" s="4"/>
      <c r="I436" s="4"/>
      <c r="J436" s="4"/>
      <c r="K436" s="4"/>
      <c r="L436" s="4"/>
    </row>
    <row r="437" spans="4:12" x14ac:dyDescent="0.25">
      <c r="D437" s="4"/>
      <c r="E437" s="4"/>
      <c r="F437" s="4"/>
      <c r="G437" s="4"/>
      <c r="H437" s="4"/>
      <c r="I437" s="4"/>
      <c r="J437" s="4"/>
      <c r="K437" s="4"/>
      <c r="L437" s="4"/>
    </row>
    <row r="438" spans="4:12" x14ac:dyDescent="0.25">
      <c r="D438" s="4"/>
      <c r="E438" s="4"/>
      <c r="F438" s="4"/>
      <c r="G438" s="4"/>
      <c r="H438" s="4"/>
      <c r="I438" s="4"/>
      <c r="J438" s="4"/>
      <c r="K438" s="4"/>
      <c r="L438" s="4"/>
    </row>
    <row r="439" spans="4:12" x14ac:dyDescent="0.25">
      <c r="D439" s="4"/>
      <c r="E439" s="4"/>
      <c r="F439" s="4"/>
      <c r="G439" s="4"/>
      <c r="H439" s="4"/>
      <c r="I439" s="4"/>
      <c r="J439" s="4"/>
      <c r="K439" s="4"/>
      <c r="L439" s="4"/>
    </row>
    <row r="440" spans="4:12" x14ac:dyDescent="0.25">
      <c r="D440" s="4"/>
      <c r="E440" s="4"/>
      <c r="F440" s="4"/>
      <c r="G440" s="4"/>
      <c r="H440" s="4"/>
      <c r="I440" s="4"/>
      <c r="J440" s="4"/>
      <c r="K440" s="4"/>
      <c r="L440" s="4"/>
    </row>
    <row r="441" spans="4:12" x14ac:dyDescent="0.25">
      <c r="D441" s="4"/>
      <c r="E441" s="4"/>
      <c r="F441" s="4"/>
      <c r="G441" s="4"/>
      <c r="H441" s="4"/>
      <c r="I441" s="4"/>
      <c r="J441" s="4"/>
      <c r="K441" s="4"/>
      <c r="L441" s="4"/>
    </row>
    <row r="442" spans="4:12" x14ac:dyDescent="0.25">
      <c r="D442" s="4"/>
      <c r="E442" s="4"/>
      <c r="F442" s="4"/>
      <c r="G442" s="4"/>
      <c r="H442" s="4"/>
      <c r="I442" s="4"/>
      <c r="J442" s="4"/>
      <c r="K442" s="4"/>
      <c r="L442" s="4"/>
    </row>
    <row r="443" spans="4:12" x14ac:dyDescent="0.25">
      <c r="D443" s="4"/>
      <c r="E443" s="4"/>
      <c r="F443" s="4"/>
      <c r="G443" s="4"/>
      <c r="H443" s="4"/>
      <c r="I443" s="4"/>
      <c r="J443" s="4"/>
      <c r="K443" s="4"/>
      <c r="L443" s="4"/>
    </row>
    <row r="444" spans="4:12" x14ac:dyDescent="0.25">
      <c r="D444" s="4"/>
      <c r="E444" s="4"/>
      <c r="F444" s="4"/>
      <c r="G444" s="4"/>
      <c r="H444" s="4"/>
      <c r="I444" s="4"/>
      <c r="J444" s="4"/>
      <c r="K444" s="4"/>
      <c r="L444" s="4"/>
    </row>
    <row r="445" spans="4:12" x14ac:dyDescent="0.25">
      <c r="D445" s="4"/>
      <c r="E445" s="4"/>
      <c r="F445" s="4"/>
      <c r="G445" s="4"/>
      <c r="H445" s="4"/>
      <c r="I445" s="4"/>
      <c r="J445" s="4"/>
      <c r="K445" s="4"/>
      <c r="L445" s="4"/>
    </row>
    <row r="446" spans="4:12" x14ac:dyDescent="0.25">
      <c r="D446" s="4"/>
      <c r="E446" s="4"/>
      <c r="F446" s="4"/>
      <c r="G446" s="4"/>
      <c r="H446" s="4"/>
      <c r="I446" s="4"/>
      <c r="J446" s="4"/>
      <c r="K446" s="4"/>
      <c r="L446" s="4"/>
    </row>
    <row r="447" spans="4:12" x14ac:dyDescent="0.25">
      <c r="D447" s="4"/>
      <c r="E447" s="4"/>
      <c r="F447" s="4"/>
      <c r="G447" s="4"/>
      <c r="H447" s="4"/>
      <c r="I447" s="4"/>
      <c r="J447" s="4"/>
      <c r="K447" s="4"/>
      <c r="L447" s="4"/>
    </row>
    <row r="448" spans="4:12" x14ac:dyDescent="0.25">
      <c r="D448" s="4"/>
      <c r="E448" s="4"/>
      <c r="F448" s="4"/>
      <c r="G448" s="4"/>
      <c r="H448" s="4"/>
      <c r="I448" s="4"/>
      <c r="J448" s="4"/>
      <c r="K448" s="4"/>
      <c r="L448" s="4"/>
    </row>
    <row r="449" spans="4:12" x14ac:dyDescent="0.25">
      <c r="D449" s="4"/>
      <c r="E449" s="4"/>
      <c r="F449" s="4"/>
      <c r="G449" s="4"/>
      <c r="H449" s="4"/>
      <c r="I449" s="4"/>
      <c r="J449" s="4"/>
      <c r="K449" s="4"/>
      <c r="L449" s="4"/>
    </row>
    <row r="450" spans="4:12" x14ac:dyDescent="0.25">
      <c r="D450" s="4"/>
      <c r="E450" s="4"/>
      <c r="F450" s="4"/>
      <c r="G450" s="4"/>
      <c r="H450" s="4"/>
      <c r="I450" s="4"/>
      <c r="J450" s="4"/>
      <c r="K450" s="4"/>
      <c r="L450" s="4"/>
    </row>
    <row r="451" spans="4:12" x14ac:dyDescent="0.25">
      <c r="D451" s="4"/>
      <c r="E451" s="4"/>
      <c r="F451" s="4"/>
      <c r="G451" s="4"/>
      <c r="H451" s="4"/>
      <c r="I451" s="4"/>
      <c r="J451" s="4"/>
      <c r="K451" s="4"/>
      <c r="L451" s="4"/>
    </row>
    <row r="452" spans="4:12" x14ac:dyDescent="0.25">
      <c r="D452" s="4"/>
      <c r="E452" s="4"/>
      <c r="F452" s="4"/>
      <c r="G452" s="4"/>
      <c r="H452" s="4"/>
      <c r="I452" s="4"/>
      <c r="J452" s="4"/>
      <c r="K452" s="4"/>
      <c r="L452" s="4"/>
    </row>
    <row r="453" spans="4:12" x14ac:dyDescent="0.25">
      <c r="D453" s="4"/>
      <c r="E453" s="4"/>
      <c r="F453" s="4"/>
      <c r="G453" s="4"/>
      <c r="H453" s="4"/>
      <c r="I453" s="4"/>
      <c r="J453" s="4"/>
      <c r="K453" s="4"/>
      <c r="L453" s="4"/>
    </row>
    <row r="454" spans="4:12" x14ac:dyDescent="0.25">
      <c r="D454" s="4"/>
      <c r="E454" s="4"/>
      <c r="F454" s="4"/>
      <c r="G454" s="4"/>
      <c r="H454" s="4"/>
      <c r="I454" s="4"/>
      <c r="J454" s="4"/>
      <c r="K454" s="4"/>
      <c r="L454" s="4"/>
    </row>
    <row r="455" spans="4:12" x14ac:dyDescent="0.25">
      <c r="D455" s="4"/>
      <c r="E455" s="4"/>
      <c r="F455" s="4"/>
      <c r="G455" s="4"/>
      <c r="H455" s="4"/>
      <c r="I455" s="4"/>
      <c r="J455" s="4"/>
      <c r="K455" s="4"/>
      <c r="L455" s="4"/>
    </row>
    <row r="456" spans="4:12" x14ac:dyDescent="0.25">
      <c r="D456" s="4"/>
      <c r="E456" s="4"/>
      <c r="F456" s="4"/>
      <c r="G456" s="4"/>
      <c r="H456" s="4"/>
      <c r="I456" s="4"/>
      <c r="J456" s="4"/>
      <c r="K456" s="4"/>
      <c r="L456" s="4"/>
    </row>
    <row r="457" spans="4:12" x14ac:dyDescent="0.25">
      <c r="D457" s="4"/>
      <c r="E457" s="4"/>
      <c r="F457" s="4"/>
      <c r="G457" s="4"/>
      <c r="H457" s="4"/>
      <c r="I457" s="4"/>
      <c r="J457" s="4"/>
      <c r="K457" s="4"/>
      <c r="L457" s="4"/>
    </row>
    <row r="458" spans="4:12" x14ac:dyDescent="0.25">
      <c r="D458" s="4"/>
      <c r="E458" s="4"/>
      <c r="F458" s="4"/>
      <c r="G458" s="4"/>
      <c r="H458" s="4"/>
      <c r="I458" s="4"/>
      <c r="J458" s="4"/>
      <c r="K458" s="4"/>
      <c r="L458" s="4"/>
    </row>
    <row r="459" spans="4:12" x14ac:dyDescent="0.25">
      <c r="D459" s="4"/>
      <c r="E459" s="4"/>
      <c r="F459" s="4"/>
      <c r="G459" s="4"/>
      <c r="H459" s="4"/>
      <c r="I459" s="4"/>
      <c r="J459" s="4"/>
      <c r="K459" s="4"/>
      <c r="L459" s="4"/>
    </row>
    <row r="460" spans="4:12" x14ac:dyDescent="0.25">
      <c r="D460" s="4"/>
      <c r="E460" s="4"/>
      <c r="F460" s="4"/>
      <c r="G460" s="4"/>
      <c r="H460" s="4"/>
      <c r="I460" s="4"/>
      <c r="J460" s="4"/>
      <c r="K460" s="4"/>
      <c r="L460" s="4"/>
    </row>
    <row r="461" spans="4:12" x14ac:dyDescent="0.25">
      <c r="D461" s="4"/>
      <c r="E461" s="4"/>
      <c r="F461" s="4"/>
      <c r="G461" s="4"/>
      <c r="H461" s="4"/>
      <c r="I461" s="4"/>
      <c r="J461" s="4"/>
      <c r="K461" s="4"/>
      <c r="L461" s="4"/>
    </row>
    <row r="462" spans="4:12" x14ac:dyDescent="0.25">
      <c r="D462" s="4"/>
      <c r="E462" s="4"/>
      <c r="F462" s="4"/>
      <c r="G462" s="4"/>
      <c r="H462" s="4"/>
      <c r="I462" s="4"/>
      <c r="J462" s="4"/>
      <c r="K462" s="4"/>
      <c r="L462" s="4"/>
    </row>
    <row r="463" spans="4:12" x14ac:dyDescent="0.25">
      <c r="D463" s="4"/>
      <c r="E463" s="4"/>
      <c r="F463" s="4"/>
      <c r="G463" s="4"/>
      <c r="H463" s="4"/>
      <c r="I463" s="4"/>
      <c r="J463" s="4"/>
      <c r="K463" s="4"/>
      <c r="L463" s="4"/>
    </row>
    <row r="464" spans="4:12" x14ac:dyDescent="0.25">
      <c r="D464" s="4"/>
      <c r="E464" s="4"/>
      <c r="F464" s="4"/>
      <c r="G464" s="4"/>
      <c r="H464" s="4"/>
      <c r="I464" s="4"/>
      <c r="J464" s="4"/>
      <c r="K464" s="4"/>
      <c r="L464" s="4"/>
    </row>
    <row r="465" spans="4:12" x14ac:dyDescent="0.25">
      <c r="D465" s="4"/>
      <c r="E465" s="4"/>
      <c r="F465" s="4"/>
      <c r="G465" s="4"/>
      <c r="H465" s="4"/>
      <c r="I465" s="4"/>
      <c r="J465" s="4"/>
      <c r="K465" s="4"/>
      <c r="L465" s="4"/>
    </row>
    <row r="466" spans="4:12" x14ac:dyDescent="0.25">
      <c r="D466" s="4"/>
      <c r="E466" s="4"/>
      <c r="F466" s="4"/>
      <c r="G466" s="4"/>
      <c r="H466" s="4"/>
      <c r="I466" s="4"/>
      <c r="J466" s="4"/>
      <c r="K466" s="4"/>
      <c r="L466" s="4"/>
    </row>
    <row r="467" spans="4:12" x14ac:dyDescent="0.25">
      <c r="D467" s="4"/>
      <c r="E467" s="4"/>
      <c r="F467" s="4"/>
      <c r="G467" s="4"/>
      <c r="H467" s="4"/>
      <c r="I467" s="4"/>
      <c r="J467" s="4"/>
      <c r="K467" s="4"/>
      <c r="L467" s="4"/>
    </row>
    <row r="468" spans="4:12" x14ac:dyDescent="0.25">
      <c r="D468" s="4"/>
      <c r="E468" s="4"/>
      <c r="F468" s="4"/>
      <c r="G468" s="4"/>
      <c r="H468" s="4"/>
      <c r="I468" s="4"/>
      <c r="J468" s="4"/>
      <c r="K468" s="4"/>
      <c r="L468" s="4"/>
    </row>
    <row r="469" spans="4:12" x14ac:dyDescent="0.25">
      <c r="D469" s="4"/>
      <c r="E469" s="4"/>
      <c r="F469" s="4"/>
      <c r="G469" s="4"/>
      <c r="H469" s="4"/>
      <c r="I469" s="4"/>
      <c r="J469" s="4"/>
      <c r="K469" s="4"/>
      <c r="L469" s="4"/>
    </row>
    <row r="470" spans="4:12" x14ac:dyDescent="0.25">
      <c r="D470" s="4"/>
      <c r="E470" s="4"/>
      <c r="F470" s="4"/>
      <c r="G470" s="4"/>
      <c r="H470" s="4"/>
      <c r="I470" s="4"/>
      <c r="J470" s="4"/>
      <c r="K470" s="4"/>
      <c r="L470" s="4"/>
    </row>
    <row r="471" spans="4:12" x14ac:dyDescent="0.25">
      <c r="D471" s="4"/>
      <c r="E471" s="4"/>
      <c r="F471" s="4"/>
      <c r="G471" s="4"/>
      <c r="H471" s="4"/>
      <c r="I471" s="4"/>
      <c r="J471" s="4"/>
      <c r="K471" s="4"/>
      <c r="L471" s="4"/>
    </row>
    <row r="472" spans="4:12" x14ac:dyDescent="0.25">
      <c r="D472" s="4"/>
      <c r="E472" s="4"/>
      <c r="F472" s="4"/>
      <c r="G472" s="4"/>
      <c r="H472" s="4"/>
      <c r="I472" s="4"/>
      <c r="J472" s="4"/>
      <c r="K472" s="4"/>
      <c r="L472" s="4"/>
    </row>
    <row r="473" spans="4:12" x14ac:dyDescent="0.25">
      <c r="D473" s="4"/>
      <c r="E473" s="4"/>
      <c r="F473" s="4"/>
      <c r="G473" s="4"/>
      <c r="H473" s="4"/>
      <c r="I473" s="4"/>
      <c r="J473" s="4"/>
      <c r="K473" s="4"/>
      <c r="L473" s="4"/>
    </row>
    <row r="474" spans="4:12" x14ac:dyDescent="0.25">
      <c r="D474" s="4"/>
      <c r="E474" s="4"/>
      <c r="F474" s="4"/>
      <c r="G474" s="4"/>
      <c r="H474" s="4"/>
      <c r="I474" s="4"/>
      <c r="J474" s="4"/>
      <c r="K474" s="4"/>
      <c r="L474" s="4"/>
    </row>
    <row r="475" spans="4:12" x14ac:dyDescent="0.25">
      <c r="D475" s="4"/>
      <c r="E475" s="4"/>
      <c r="F475" s="4"/>
      <c r="G475" s="4"/>
      <c r="H475" s="4"/>
      <c r="I475" s="4"/>
      <c r="J475" s="4"/>
      <c r="K475" s="4"/>
      <c r="L475" s="4"/>
    </row>
    <row r="476" spans="4:12" x14ac:dyDescent="0.25">
      <c r="D476" s="4"/>
      <c r="E476" s="4"/>
      <c r="F476" s="4"/>
      <c r="G476" s="4"/>
      <c r="H476" s="4"/>
      <c r="I476" s="4"/>
      <c r="J476" s="4"/>
      <c r="K476" s="4"/>
      <c r="L476" s="4"/>
    </row>
    <row r="477" spans="4:12" x14ac:dyDescent="0.25">
      <c r="D477" s="4"/>
      <c r="E477" s="4"/>
      <c r="F477" s="4"/>
      <c r="G477" s="4"/>
      <c r="H477" s="4"/>
      <c r="I477" s="4"/>
      <c r="J477" s="4"/>
      <c r="K477" s="4"/>
      <c r="L477" s="4"/>
    </row>
    <row r="478" spans="4:12" x14ac:dyDescent="0.25">
      <c r="D478" s="4"/>
      <c r="E478" s="4"/>
      <c r="F478" s="4"/>
      <c r="G478" s="4"/>
      <c r="H478" s="4"/>
      <c r="I478" s="4"/>
      <c r="J478" s="4"/>
      <c r="K478" s="4"/>
      <c r="L478" s="4"/>
    </row>
    <row r="479" spans="4:12" x14ac:dyDescent="0.25">
      <c r="D479" s="4"/>
      <c r="E479" s="4"/>
      <c r="F479" s="4"/>
      <c r="G479" s="4"/>
      <c r="H479" s="4"/>
      <c r="I479" s="4"/>
      <c r="J479" s="4"/>
      <c r="K479" s="4"/>
      <c r="L479" s="4"/>
    </row>
    <row r="480" spans="4:12" x14ac:dyDescent="0.25">
      <c r="D480" s="4"/>
      <c r="E480" s="4"/>
      <c r="F480" s="4"/>
      <c r="G480" s="4"/>
      <c r="H480" s="4"/>
      <c r="I480" s="4"/>
      <c r="J480" s="4"/>
      <c r="K480" s="4"/>
      <c r="L480" s="4"/>
    </row>
    <row r="481" spans="4:12" x14ac:dyDescent="0.25">
      <c r="D481" s="4"/>
      <c r="E481" s="4"/>
      <c r="F481" s="4"/>
      <c r="G481" s="4"/>
      <c r="H481" s="4"/>
      <c r="I481" s="4"/>
      <c r="J481" s="4"/>
      <c r="K481" s="4"/>
      <c r="L481" s="4"/>
    </row>
    <row r="482" spans="4:12" x14ac:dyDescent="0.25">
      <c r="D482" s="4"/>
      <c r="E482" s="4"/>
      <c r="F482" s="4"/>
      <c r="G482" s="4"/>
      <c r="H482" s="4"/>
      <c r="I482" s="4"/>
      <c r="J482" s="4"/>
      <c r="K482" s="4"/>
      <c r="L482" s="4"/>
    </row>
    <row r="483" spans="4:12" x14ac:dyDescent="0.25">
      <c r="D483" s="4"/>
      <c r="E483" s="4"/>
      <c r="F483" s="4"/>
      <c r="G483" s="4"/>
      <c r="H483" s="4"/>
      <c r="I483" s="4"/>
      <c r="J483" s="4"/>
      <c r="K483" s="4"/>
      <c r="L483" s="4"/>
    </row>
    <row r="484" spans="4:12" x14ac:dyDescent="0.25">
      <c r="D484" s="4"/>
      <c r="E484" s="4"/>
      <c r="F484" s="4"/>
      <c r="G484" s="4"/>
      <c r="H484" s="4"/>
      <c r="I484" s="4"/>
      <c r="J484" s="4"/>
      <c r="K484" s="4"/>
      <c r="L484" s="4"/>
    </row>
    <row r="485" spans="4:12" x14ac:dyDescent="0.25">
      <c r="D485" s="4"/>
      <c r="E485" s="4"/>
      <c r="F485" s="4"/>
      <c r="G485" s="4"/>
      <c r="H485" s="4"/>
      <c r="I485" s="4"/>
      <c r="J485" s="4"/>
      <c r="K485" s="4"/>
      <c r="L485" s="4"/>
    </row>
    <row r="486" spans="4:12" x14ac:dyDescent="0.25">
      <c r="D486" s="4"/>
      <c r="E486" s="4"/>
      <c r="F486" s="4"/>
      <c r="G486" s="4"/>
      <c r="H486" s="4"/>
      <c r="I486" s="4"/>
      <c r="J486" s="4"/>
      <c r="K486" s="4"/>
      <c r="L486" s="4"/>
    </row>
    <row r="487" spans="4:12" x14ac:dyDescent="0.25">
      <c r="D487" s="4"/>
      <c r="E487" s="4"/>
      <c r="F487" s="4"/>
      <c r="G487" s="4"/>
      <c r="H487" s="4"/>
      <c r="I487" s="4"/>
      <c r="J487" s="4"/>
      <c r="K487" s="4"/>
      <c r="L487" s="4"/>
    </row>
    <row r="488" spans="4:12" x14ac:dyDescent="0.25">
      <c r="D488" s="4"/>
      <c r="E488" s="4"/>
      <c r="F488" s="4"/>
      <c r="G488" s="4"/>
      <c r="H488" s="4"/>
      <c r="I488" s="4"/>
      <c r="J488" s="4"/>
      <c r="K488" s="4"/>
      <c r="L488" s="4"/>
    </row>
    <row r="489" spans="4:12" x14ac:dyDescent="0.25">
      <c r="D489" s="4"/>
      <c r="E489" s="4"/>
      <c r="F489" s="4"/>
      <c r="G489" s="4"/>
      <c r="H489" s="4"/>
      <c r="I489" s="4"/>
      <c r="J489" s="4"/>
      <c r="K489" s="4"/>
      <c r="L489" s="4"/>
    </row>
    <row r="490" spans="4:12" x14ac:dyDescent="0.25">
      <c r="D490" s="4"/>
      <c r="E490" s="4"/>
      <c r="F490" s="4"/>
      <c r="G490" s="4"/>
      <c r="H490" s="4"/>
      <c r="I490" s="4"/>
      <c r="J490" s="4"/>
      <c r="K490" s="4"/>
      <c r="L490" s="4"/>
    </row>
    <row r="491" spans="4:12" x14ac:dyDescent="0.25">
      <c r="D491" s="4"/>
      <c r="E491" s="4"/>
      <c r="F491" s="4"/>
      <c r="G491" s="4"/>
      <c r="H491" s="4"/>
      <c r="I491" s="4"/>
      <c r="J491" s="4"/>
      <c r="K491" s="4"/>
      <c r="L491" s="4"/>
    </row>
    <row r="492" spans="4:12" x14ac:dyDescent="0.25">
      <c r="D492" s="4"/>
      <c r="E492" s="4"/>
      <c r="F492" s="4"/>
      <c r="G492" s="4"/>
      <c r="H492" s="4"/>
      <c r="I492" s="4"/>
      <c r="J492" s="4"/>
      <c r="K492" s="4"/>
      <c r="L492" s="4"/>
    </row>
    <row r="493" spans="4:12" x14ac:dyDescent="0.25">
      <c r="D493" s="4"/>
      <c r="E493" s="4"/>
      <c r="F493" s="4"/>
      <c r="G493" s="4"/>
      <c r="H493" s="4"/>
      <c r="I493" s="4"/>
      <c r="J493" s="4"/>
      <c r="K493" s="4"/>
      <c r="L493" s="4"/>
    </row>
    <row r="494" spans="4:12" x14ac:dyDescent="0.25">
      <c r="D494" s="4"/>
      <c r="E494" s="4"/>
      <c r="F494" s="4"/>
      <c r="G494" s="4"/>
      <c r="H494" s="4"/>
      <c r="I494" s="4"/>
      <c r="J494" s="4"/>
      <c r="K494" s="4"/>
      <c r="L494" s="4"/>
    </row>
    <row r="495" spans="4:12" x14ac:dyDescent="0.25">
      <c r="D495" s="4"/>
      <c r="E495" s="4"/>
      <c r="F495" s="4"/>
      <c r="G495" s="4"/>
      <c r="H495" s="4"/>
      <c r="I495" s="4"/>
      <c r="J495" s="4"/>
      <c r="K495" s="4"/>
      <c r="L495" s="4"/>
    </row>
    <row r="496" spans="4:12" x14ac:dyDescent="0.25">
      <c r="D496" s="4"/>
      <c r="E496" s="4"/>
      <c r="F496" s="4"/>
      <c r="G496" s="4"/>
      <c r="H496" s="4"/>
      <c r="I496" s="4"/>
      <c r="J496" s="4"/>
      <c r="K496" s="4"/>
      <c r="L496" s="4"/>
    </row>
    <row r="497" spans="4:12" x14ac:dyDescent="0.25">
      <c r="D497" s="4"/>
      <c r="E497" s="4"/>
      <c r="F497" s="4"/>
      <c r="G497" s="4"/>
      <c r="H497" s="4"/>
      <c r="I497" s="4"/>
      <c r="J497" s="4"/>
      <c r="K497" s="4"/>
      <c r="L497" s="4"/>
    </row>
    <row r="498" spans="4:12" x14ac:dyDescent="0.25">
      <c r="D498" s="4"/>
      <c r="E498" s="4"/>
      <c r="F498" s="4"/>
      <c r="G498" s="4"/>
      <c r="H498" s="4"/>
      <c r="I498" s="4"/>
      <c r="J498" s="4"/>
      <c r="K498" s="4"/>
      <c r="L498" s="4"/>
    </row>
    <row r="499" spans="4:12" x14ac:dyDescent="0.25">
      <c r="D499" s="4"/>
      <c r="E499" s="4"/>
      <c r="F499" s="4"/>
      <c r="G499" s="4"/>
      <c r="H499" s="4"/>
      <c r="I499" s="4"/>
      <c r="J499" s="4"/>
      <c r="K499" s="4"/>
      <c r="L499" s="4"/>
    </row>
    <row r="500" spans="4:12" x14ac:dyDescent="0.25">
      <c r="D500" s="4"/>
      <c r="E500" s="4"/>
      <c r="F500" s="4"/>
      <c r="G500" s="4"/>
      <c r="H500" s="4"/>
      <c r="I500" s="4"/>
      <c r="J500" s="4"/>
      <c r="K500" s="4"/>
      <c r="L500" s="4"/>
    </row>
    <row r="501" spans="4:12" x14ac:dyDescent="0.25">
      <c r="D501" s="4"/>
      <c r="E501" s="4"/>
      <c r="F501" s="4"/>
      <c r="G501" s="4"/>
      <c r="H501" s="4"/>
      <c r="I501" s="4"/>
      <c r="J501" s="4"/>
      <c r="K501" s="4"/>
      <c r="L501" s="4"/>
    </row>
    <row r="502" spans="4:12" x14ac:dyDescent="0.25">
      <c r="D502" s="4"/>
      <c r="E502" s="4"/>
      <c r="F502" s="4"/>
      <c r="G502" s="4"/>
      <c r="H502" s="4"/>
      <c r="I502" s="4"/>
      <c r="J502" s="4"/>
      <c r="K502" s="4"/>
      <c r="L502" s="4"/>
    </row>
    <row r="503" spans="4:12" x14ac:dyDescent="0.25">
      <c r="D503" s="4"/>
      <c r="E503" s="4"/>
      <c r="F503" s="4"/>
      <c r="G503" s="4"/>
      <c r="H503" s="4"/>
      <c r="I503" s="4"/>
      <c r="J503" s="4"/>
      <c r="K503" s="4"/>
      <c r="L503" s="4"/>
    </row>
    <row r="504" spans="4:12" x14ac:dyDescent="0.25">
      <c r="D504" s="4"/>
      <c r="E504" s="4"/>
      <c r="F504" s="4"/>
      <c r="G504" s="4"/>
      <c r="H504" s="4"/>
      <c r="I504" s="4"/>
      <c r="J504" s="4"/>
      <c r="K504" s="4"/>
      <c r="L504" s="4"/>
    </row>
    <row r="505" spans="4:12" x14ac:dyDescent="0.25">
      <c r="D505" s="4"/>
      <c r="E505" s="4"/>
      <c r="F505" s="4"/>
      <c r="G505" s="4"/>
      <c r="H505" s="4"/>
      <c r="I505" s="4"/>
      <c r="J505" s="4"/>
      <c r="K505" s="4"/>
      <c r="L505" s="4"/>
    </row>
    <row r="506" spans="4:12" x14ac:dyDescent="0.25">
      <c r="D506" s="4"/>
      <c r="E506" s="4"/>
      <c r="F506" s="4"/>
      <c r="G506" s="4"/>
      <c r="H506" s="4"/>
      <c r="I506" s="4"/>
      <c r="J506" s="4"/>
      <c r="K506" s="4"/>
      <c r="L506" s="4"/>
    </row>
    <row r="507" spans="4:12" x14ac:dyDescent="0.25">
      <c r="D507" s="4"/>
      <c r="E507" s="4"/>
      <c r="F507" s="4"/>
      <c r="G507" s="4"/>
      <c r="H507" s="4"/>
      <c r="I507" s="4"/>
      <c r="J507" s="4"/>
      <c r="K507" s="4"/>
      <c r="L507" s="4"/>
    </row>
    <row r="508" spans="4:12" x14ac:dyDescent="0.25">
      <c r="D508" s="4"/>
      <c r="E508" s="4"/>
      <c r="F508" s="4"/>
      <c r="G508" s="4"/>
      <c r="H508" s="4"/>
      <c r="I508" s="4"/>
      <c r="J508" s="4"/>
      <c r="K508" s="4"/>
      <c r="L508" s="4"/>
    </row>
    <row r="509" spans="4:12" x14ac:dyDescent="0.25">
      <c r="D509" s="4"/>
      <c r="E509" s="4"/>
      <c r="F509" s="4"/>
      <c r="G509" s="4"/>
      <c r="H509" s="4"/>
      <c r="I509" s="4"/>
      <c r="J509" s="4"/>
      <c r="K509" s="4"/>
      <c r="L509" s="4"/>
    </row>
    <row r="510" spans="4:12" x14ac:dyDescent="0.25">
      <c r="D510" s="4"/>
      <c r="E510" s="4"/>
      <c r="F510" s="4"/>
      <c r="G510" s="4"/>
      <c r="H510" s="4"/>
      <c r="I510" s="4"/>
      <c r="J510" s="4"/>
      <c r="K510" s="4"/>
      <c r="L510" s="4"/>
    </row>
    <row r="511" spans="4:12" x14ac:dyDescent="0.25">
      <c r="D511" s="4"/>
      <c r="E511" s="4"/>
      <c r="F511" s="4"/>
      <c r="G511" s="4"/>
      <c r="H511" s="4"/>
      <c r="I511" s="4"/>
      <c r="J511" s="4"/>
      <c r="K511" s="4"/>
      <c r="L511" s="4"/>
    </row>
    <row r="512" spans="4:12" x14ac:dyDescent="0.25">
      <c r="D512" s="4"/>
      <c r="E512" s="4"/>
      <c r="F512" s="4"/>
      <c r="G512" s="4"/>
      <c r="H512" s="4"/>
      <c r="I512" s="4"/>
      <c r="J512" s="4"/>
      <c r="K512" s="4"/>
      <c r="L512" s="4"/>
    </row>
    <row r="513" spans="4:12" x14ac:dyDescent="0.25">
      <c r="D513" s="4"/>
      <c r="E513" s="4"/>
      <c r="F513" s="4"/>
      <c r="G513" s="4"/>
      <c r="H513" s="4"/>
      <c r="I513" s="4"/>
      <c r="J513" s="4"/>
      <c r="K513" s="4"/>
      <c r="L513" s="4"/>
    </row>
    <row r="514" spans="4:12" x14ac:dyDescent="0.25">
      <c r="D514" s="4"/>
      <c r="E514" s="4"/>
      <c r="F514" s="4"/>
      <c r="G514" s="4"/>
      <c r="H514" s="4"/>
      <c r="I514" s="4"/>
      <c r="J514" s="4"/>
      <c r="K514" s="4"/>
      <c r="L514" s="4"/>
    </row>
    <row r="515" spans="4:12" x14ac:dyDescent="0.25">
      <c r="D515" s="4"/>
      <c r="E515" s="4"/>
      <c r="F515" s="4"/>
      <c r="G515" s="4"/>
      <c r="H515" s="4"/>
      <c r="I515" s="4"/>
      <c r="J515" s="4"/>
      <c r="K515" s="4"/>
      <c r="L515" s="4"/>
    </row>
    <row r="516" spans="4:12" x14ac:dyDescent="0.25">
      <c r="D516" s="4"/>
      <c r="E516" s="4"/>
      <c r="F516" s="4"/>
      <c r="G516" s="4"/>
      <c r="H516" s="4"/>
      <c r="I516" s="4"/>
      <c r="J516" s="4"/>
      <c r="K516" s="4"/>
      <c r="L516" s="4"/>
    </row>
    <row r="517" spans="4:12" x14ac:dyDescent="0.25">
      <c r="D517" s="4"/>
      <c r="E517" s="4"/>
      <c r="F517" s="4"/>
      <c r="G517" s="4"/>
      <c r="H517" s="4"/>
      <c r="I517" s="4"/>
      <c r="J517" s="4"/>
      <c r="K517" s="4"/>
      <c r="L517" s="4"/>
    </row>
    <row r="518" spans="4:12" x14ac:dyDescent="0.25">
      <c r="D518" s="4"/>
      <c r="E518" s="4"/>
      <c r="F518" s="4"/>
      <c r="G518" s="4"/>
      <c r="H518" s="4"/>
      <c r="I518" s="4"/>
      <c r="J518" s="4"/>
      <c r="K518" s="4"/>
      <c r="L518" s="4"/>
    </row>
    <row r="519" spans="4:12" x14ac:dyDescent="0.25">
      <c r="D519" s="4"/>
      <c r="E519" s="4"/>
      <c r="F519" s="4"/>
      <c r="G519" s="4"/>
      <c r="H519" s="4"/>
      <c r="I519" s="4"/>
      <c r="J519" s="4"/>
      <c r="K519" s="4"/>
      <c r="L519" s="4"/>
    </row>
    <row r="520" spans="4:12" x14ac:dyDescent="0.25">
      <c r="D520" s="4"/>
      <c r="E520" s="4"/>
      <c r="F520" s="4"/>
      <c r="G520" s="4"/>
      <c r="H520" s="4"/>
      <c r="I520" s="4"/>
      <c r="J520" s="4"/>
      <c r="K520" s="4"/>
      <c r="L520" s="4"/>
    </row>
    <row r="521" spans="4:12" x14ac:dyDescent="0.25">
      <c r="D521" s="4"/>
      <c r="E521" s="4"/>
      <c r="F521" s="4"/>
      <c r="G521" s="4"/>
      <c r="H521" s="4"/>
      <c r="I521" s="4"/>
      <c r="J521" s="4"/>
      <c r="K521" s="4"/>
      <c r="L521" s="4"/>
    </row>
    <row r="522" spans="4:12" x14ac:dyDescent="0.25">
      <c r="D522" s="4"/>
      <c r="E522" s="4"/>
      <c r="F522" s="4"/>
      <c r="G522" s="4"/>
      <c r="H522" s="4"/>
      <c r="I522" s="4"/>
      <c r="J522" s="4"/>
      <c r="K522" s="4"/>
      <c r="L522" s="4"/>
    </row>
    <row r="523" spans="4:12" x14ac:dyDescent="0.25">
      <c r="D523" s="4"/>
      <c r="E523" s="4"/>
      <c r="F523" s="4"/>
      <c r="G523" s="4"/>
      <c r="H523" s="4"/>
      <c r="I523" s="4"/>
      <c r="J523" s="4"/>
      <c r="K523" s="4"/>
      <c r="L523" s="4"/>
    </row>
    <row r="524" spans="4:12" x14ac:dyDescent="0.25">
      <c r="D524" s="4"/>
      <c r="E524" s="4"/>
      <c r="F524" s="4"/>
      <c r="G524" s="4"/>
      <c r="H524" s="4"/>
      <c r="I524" s="4"/>
      <c r="J524" s="4"/>
      <c r="K524" s="4"/>
      <c r="L524" s="4"/>
    </row>
    <row r="525" spans="4:12" x14ac:dyDescent="0.25">
      <c r="D525" s="4"/>
      <c r="E525" s="4"/>
      <c r="F525" s="4"/>
      <c r="G525" s="4"/>
      <c r="H525" s="4"/>
      <c r="I525" s="4"/>
      <c r="J525" s="4"/>
      <c r="K525" s="4"/>
      <c r="L525" s="4"/>
    </row>
    <row r="526" spans="4:12" x14ac:dyDescent="0.25">
      <c r="D526" s="4"/>
      <c r="E526" s="4"/>
      <c r="F526" s="4"/>
      <c r="G526" s="4"/>
      <c r="H526" s="4"/>
      <c r="I526" s="4"/>
      <c r="J526" s="4"/>
      <c r="K526" s="4"/>
      <c r="L526" s="4"/>
    </row>
    <row r="527" spans="4:12" x14ac:dyDescent="0.25">
      <c r="D527" s="4"/>
      <c r="E527" s="4"/>
      <c r="F527" s="4"/>
      <c r="G527" s="4"/>
      <c r="H527" s="4"/>
      <c r="I527" s="4"/>
      <c r="J527" s="4"/>
      <c r="K527" s="4"/>
      <c r="L527" s="4"/>
    </row>
    <row r="528" spans="4:12" x14ac:dyDescent="0.25">
      <c r="D528" s="4"/>
      <c r="E528" s="4"/>
      <c r="F528" s="4"/>
      <c r="G528" s="4"/>
      <c r="H528" s="4"/>
      <c r="I528" s="4"/>
      <c r="J528" s="4"/>
      <c r="K528" s="4"/>
      <c r="L528" s="4"/>
    </row>
    <row r="529" spans="4:12" x14ac:dyDescent="0.25">
      <c r="D529" s="4"/>
      <c r="E529" s="4"/>
      <c r="F529" s="4"/>
      <c r="G529" s="4"/>
      <c r="H529" s="4"/>
      <c r="I529" s="4"/>
      <c r="J529" s="4"/>
      <c r="K529" s="4"/>
      <c r="L529" s="4"/>
    </row>
    <row r="530" spans="4:12" x14ac:dyDescent="0.25">
      <c r="D530" s="4"/>
      <c r="E530" s="4"/>
      <c r="F530" s="4"/>
      <c r="G530" s="4"/>
      <c r="H530" s="4"/>
      <c r="I530" s="4"/>
      <c r="J530" s="4"/>
      <c r="K530" s="4"/>
      <c r="L530" s="4"/>
    </row>
    <row r="531" spans="4:12" x14ac:dyDescent="0.25">
      <c r="D531" s="4"/>
      <c r="E531" s="4"/>
      <c r="F531" s="4"/>
      <c r="G531" s="4"/>
      <c r="H531" s="4"/>
      <c r="I531" s="4"/>
      <c r="J531" s="4"/>
      <c r="K531" s="4"/>
      <c r="L531" s="4"/>
    </row>
    <row r="532" spans="4:12" x14ac:dyDescent="0.25">
      <c r="D532" s="4"/>
      <c r="E532" s="4"/>
      <c r="F532" s="4"/>
      <c r="G532" s="4"/>
      <c r="H532" s="4"/>
      <c r="I532" s="4"/>
      <c r="J532" s="4"/>
      <c r="K532" s="4"/>
      <c r="L532" s="4"/>
    </row>
    <row r="533" spans="4:12" x14ac:dyDescent="0.25">
      <c r="D533" s="4"/>
      <c r="E533" s="4"/>
      <c r="F533" s="4"/>
      <c r="G533" s="4"/>
      <c r="H533" s="4"/>
      <c r="I533" s="4"/>
      <c r="J533" s="4"/>
      <c r="K533" s="4"/>
      <c r="L533" s="4"/>
    </row>
    <row r="534" spans="4:12" x14ac:dyDescent="0.25">
      <c r="D534" s="4"/>
      <c r="E534" s="4"/>
      <c r="F534" s="4"/>
      <c r="G534" s="4"/>
      <c r="H534" s="4"/>
      <c r="I534" s="4"/>
      <c r="J534" s="4"/>
      <c r="K534" s="4"/>
      <c r="L534" s="4"/>
    </row>
    <row r="535" spans="4:12" x14ac:dyDescent="0.25">
      <c r="D535" s="4"/>
      <c r="E535" s="4"/>
      <c r="F535" s="4"/>
      <c r="G535" s="4"/>
      <c r="H535" s="4"/>
      <c r="I535" s="4"/>
      <c r="J535" s="4"/>
      <c r="K535" s="4"/>
      <c r="L535" s="4"/>
    </row>
    <row r="536" spans="4:12" x14ac:dyDescent="0.25">
      <c r="D536" s="4"/>
      <c r="E536" s="4"/>
      <c r="F536" s="4"/>
      <c r="G536" s="4"/>
      <c r="H536" s="4"/>
      <c r="I536" s="4"/>
      <c r="J536" s="4"/>
      <c r="K536" s="4"/>
      <c r="L536" s="4"/>
    </row>
    <row r="537" spans="4:12" x14ac:dyDescent="0.25">
      <c r="D537" s="4"/>
      <c r="E537" s="4"/>
      <c r="F537" s="4"/>
      <c r="G537" s="4"/>
      <c r="H537" s="4"/>
      <c r="I537" s="4"/>
      <c r="J537" s="4"/>
      <c r="K537" s="4"/>
      <c r="L537" s="4"/>
    </row>
    <row r="538" spans="4:12" x14ac:dyDescent="0.25">
      <c r="D538" s="4"/>
      <c r="E538" s="4"/>
      <c r="F538" s="4"/>
      <c r="G538" s="4"/>
      <c r="H538" s="4"/>
      <c r="I538" s="4"/>
      <c r="J538" s="4"/>
      <c r="K538" s="4"/>
      <c r="L538" s="4"/>
    </row>
    <row r="539" spans="4:12" x14ac:dyDescent="0.25">
      <c r="D539" s="4"/>
      <c r="E539" s="4"/>
      <c r="F539" s="4"/>
      <c r="G539" s="4"/>
      <c r="H539" s="4"/>
      <c r="I539" s="4"/>
      <c r="J539" s="4"/>
      <c r="K539" s="4"/>
      <c r="L539" s="4"/>
    </row>
    <row r="540" spans="4:12" x14ac:dyDescent="0.25">
      <c r="D540" s="4"/>
      <c r="E540" s="4"/>
      <c r="F540" s="4"/>
      <c r="G540" s="4"/>
      <c r="H540" s="4"/>
      <c r="I540" s="4"/>
      <c r="J540" s="4"/>
      <c r="K540" s="4"/>
      <c r="L540" s="4"/>
    </row>
    <row r="541" spans="4:12" x14ac:dyDescent="0.25">
      <c r="D541" s="4"/>
      <c r="E541" s="4"/>
      <c r="F541" s="4"/>
      <c r="G541" s="4"/>
      <c r="H541" s="4"/>
      <c r="I541" s="4"/>
      <c r="J541" s="4"/>
      <c r="K541" s="4"/>
      <c r="L541" s="4"/>
    </row>
  </sheetData>
  <pageMargins left="0.7" right="0.7" top="0.75" bottom="0.75" header="0.3" footer="0.3"/>
  <pageSetup paperSize="8" scale="31" orientation="landscape" r:id="rId1"/>
  <rowBreaks count="3" manualBreakCount="3">
    <brk id="152" max="16383" man="1"/>
    <brk id="305" min="1" max="31" man="1"/>
    <brk id="367" max="16383" man="1"/>
  </rowBreaks>
  <colBreaks count="1" manualBreakCount="1">
    <brk id="28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6</vt:i4>
      </vt:variant>
      <vt:variant>
        <vt:lpstr>Plages nommées</vt:lpstr>
      </vt:variant>
      <vt:variant>
        <vt:i4>4</vt:i4>
      </vt:variant>
    </vt:vector>
  </HeadingPairs>
  <TitlesOfParts>
    <vt:vector size="10" baseType="lpstr">
      <vt:lpstr>WGO 2020</vt:lpstr>
      <vt:lpstr>PLUVIO</vt:lpstr>
      <vt:lpstr> pluvio men</vt:lpstr>
      <vt:lpstr>WGO 2021</vt:lpstr>
      <vt:lpstr>WGO 2022</vt:lpstr>
      <vt:lpstr>WGO 2023</vt:lpstr>
      <vt:lpstr>'WGO 2020'!Zone_d_impression</vt:lpstr>
      <vt:lpstr>'WGO 2021'!Zone_d_impression</vt:lpstr>
      <vt:lpstr>'WGO 2022'!Zone_d_impression</vt:lpstr>
      <vt:lpstr>'WGO 2023'!Zone_d_impression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Morcombe;Ibrahim K</dc:creator>
  <cp:lastModifiedBy>PC</cp:lastModifiedBy>
  <dcterms:created xsi:type="dcterms:W3CDTF">2020-04-21T20:21:28Z</dcterms:created>
  <dcterms:modified xsi:type="dcterms:W3CDTF">2024-04-03T17:25:58Z</dcterms:modified>
</cp:coreProperties>
</file>