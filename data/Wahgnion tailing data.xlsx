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alex.walker\AppData\Local\Microsoft\Windows\INetCache\Content.Outlook\7LQU4PHW\"/>
    </mc:Choice>
  </mc:AlternateContent>
  <xr:revisionPtr revIDLastSave="0" documentId="8_{EA8F62A8-40DF-4244-A628-B25F548A6283}" xr6:coauthVersionLast="46" xr6:coauthVersionMax="46" xr10:uidLastSave="{00000000-0000-0000-0000-000000000000}"/>
  <bookViews>
    <workbookView xWindow="-120" yWindow="-120" windowWidth="29040" windowHeight="15840" xr2:uid="{BEA29C55-D9BC-4593-BF64-E1E33AEC799F}"/>
  </bookViews>
  <sheets>
    <sheet name="Liquor data" sheetId="2" r:id="rId1"/>
    <sheet name="2128731 RAW" sheetId="3" r:id="rId2"/>
    <sheet name="Solid data" sheetId="5" r:id="rId3"/>
    <sheet name="2128607 RAW"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2" i="5" l="1"/>
  <c r="H22" i="5"/>
  <c r="E22" i="5"/>
  <c r="L34" i="2"/>
  <c r="K34" i="2"/>
  <c r="E34" i="2"/>
  <c r="L33" i="2"/>
  <c r="E33" i="2"/>
  <c r="L40" i="2"/>
  <c r="K40" i="2"/>
  <c r="E40" i="2"/>
  <c r="L32" i="2"/>
  <c r="E32" i="2"/>
  <c r="L31" i="2"/>
  <c r="K31" i="2"/>
  <c r="E31" i="2"/>
  <c r="L30" i="2"/>
  <c r="E30" i="2"/>
  <c r="L39" i="2"/>
  <c r="K39" i="2"/>
  <c r="E39" i="2"/>
  <c r="L29" i="2"/>
  <c r="E29" i="2"/>
  <c r="L38" i="2"/>
  <c r="K38" i="2"/>
  <c r="E38" i="2"/>
  <c r="L37" i="2"/>
  <c r="K37" i="2"/>
  <c r="E37" i="2"/>
  <c r="L22" i="2"/>
  <c r="K22" i="2"/>
  <c r="E22" i="2"/>
  <c r="E21" i="2"/>
  <c r="L20" i="2"/>
  <c r="K20" i="2"/>
  <c r="E20" i="2"/>
  <c r="L36" i="2"/>
  <c r="K36" i="2"/>
  <c r="E36" i="2"/>
  <c r="L18" i="2"/>
  <c r="K18" i="2"/>
  <c r="E18" i="2"/>
  <c r="E17" i="2"/>
  <c r="E35" i="2"/>
  <c r="E14" i="2"/>
  <c r="E10" i="2"/>
  <c r="L17" i="2"/>
  <c r="K17" i="2"/>
  <c r="L35" i="2"/>
  <c r="K35" i="2"/>
  <c r="L14" i="2"/>
  <c r="K14" i="2"/>
  <c r="L10" i="2"/>
  <c r="K10" i="2"/>
  <c r="J40" i="2"/>
  <c r="J31" i="2"/>
  <c r="J39" i="2"/>
  <c r="J29" i="2"/>
  <c r="J26" i="2"/>
  <c r="J38" i="2"/>
  <c r="J24" i="2"/>
  <c r="J23" i="2"/>
  <c r="J37" i="2"/>
  <c r="J22" i="2"/>
  <c r="J21" i="2"/>
  <c r="J20" i="2"/>
  <c r="J36" i="2"/>
  <c r="J19" i="2"/>
  <c r="J18" i="2"/>
  <c r="J17" i="2"/>
  <c r="J16" i="2"/>
  <c r="J35" i="2"/>
  <c r="J15" i="2"/>
  <c r="J14" i="2"/>
  <c r="J13" i="2"/>
  <c r="J12" i="2"/>
  <c r="J11" i="2"/>
  <c r="J10" i="2"/>
  <c r="I40" i="2"/>
  <c r="I31" i="2"/>
  <c r="I39" i="2"/>
  <c r="I29" i="2"/>
  <c r="I26" i="2"/>
  <c r="I38" i="2"/>
  <c r="I24" i="2"/>
  <c r="I23" i="2"/>
  <c r="I37" i="2"/>
  <c r="I22" i="2"/>
  <c r="I21" i="2"/>
  <c r="I20" i="2"/>
  <c r="I36" i="2"/>
  <c r="I19" i="2"/>
  <c r="I18" i="2"/>
  <c r="I17" i="2"/>
  <c r="I16" i="2"/>
  <c r="I35" i="2"/>
  <c r="I15" i="2"/>
  <c r="I14" i="2"/>
  <c r="I13" i="2"/>
  <c r="I12" i="2"/>
  <c r="I11" i="2"/>
  <c r="I10" i="2"/>
  <c r="H40" i="2"/>
  <c r="H39" i="2"/>
  <c r="H29" i="2"/>
  <c r="H38" i="2"/>
  <c r="H37" i="2"/>
  <c r="H20" i="2"/>
  <c r="H36" i="2"/>
  <c r="H19" i="2"/>
  <c r="H18" i="2"/>
  <c r="H17" i="2"/>
  <c r="H35" i="2"/>
  <c r="H15" i="2"/>
  <c r="H14" i="2"/>
  <c r="H12" i="2"/>
  <c r="H10" i="2"/>
  <c r="G40" i="2"/>
  <c r="G39" i="2"/>
  <c r="G29" i="2"/>
  <c r="G20" i="2"/>
  <c r="G18" i="2"/>
  <c r="G17" i="2"/>
  <c r="G15" i="2"/>
  <c r="G14" i="2"/>
  <c r="F40" i="2"/>
  <c r="F39" i="2"/>
  <c r="F29" i="2"/>
  <c r="F20" i="2"/>
  <c r="F19" i="2"/>
  <c r="F18" i="2"/>
  <c r="F17" i="2"/>
  <c r="F15" i="2"/>
  <c r="F14" i="2"/>
  <c r="F12" i="2"/>
</calcChain>
</file>

<file path=xl/sharedStrings.xml><?xml version="1.0" encoding="utf-8"?>
<sst xmlns="http://schemas.openxmlformats.org/spreadsheetml/2006/main" count="890" uniqueCount="226">
  <si>
    <t>ELEMENTS</t>
  </si>
  <si>
    <t>Ag</t>
  </si>
  <si>
    <t>Al</t>
  </si>
  <si>
    <t>As</t>
  </si>
  <si>
    <t>B</t>
  </si>
  <si>
    <t>Ba</t>
  </si>
  <si>
    <t>Be</t>
  </si>
  <si>
    <t>Bi</t>
  </si>
  <si>
    <t>Ca</t>
  </si>
  <si>
    <t>Cd</t>
  </si>
  <si>
    <t>Cl</t>
  </si>
  <si>
    <t>Co</t>
  </si>
  <si>
    <t>Cr</t>
  </si>
  <si>
    <t>Cu</t>
  </si>
  <si>
    <t>EC</t>
  </si>
  <si>
    <t>F</t>
  </si>
  <si>
    <t>Fe-Sol</t>
  </si>
  <si>
    <t>Hg</t>
  </si>
  <si>
    <t>K</t>
  </si>
  <si>
    <t>Mg</t>
  </si>
  <si>
    <t>Mn</t>
  </si>
  <si>
    <t>Mo</t>
  </si>
  <si>
    <t>Na</t>
  </si>
  <si>
    <t>Ni</t>
  </si>
  <si>
    <t>P</t>
  </si>
  <si>
    <t>Pb</t>
  </si>
  <si>
    <t>CN-Tot</t>
  </si>
  <si>
    <t>CN-WAD</t>
  </si>
  <si>
    <t>FreeCN</t>
  </si>
  <si>
    <t>pH</t>
  </si>
  <si>
    <t>S</t>
  </si>
  <si>
    <t>Sb</t>
  </si>
  <si>
    <t>Se</t>
  </si>
  <si>
    <t>Sn</t>
  </si>
  <si>
    <t>Sr</t>
  </si>
  <si>
    <t>TDSEva</t>
  </si>
  <si>
    <t>Th</t>
  </si>
  <si>
    <t>U</t>
  </si>
  <si>
    <t>V</t>
  </si>
  <si>
    <t>Zn</t>
  </si>
  <si>
    <t>UNITS</t>
  </si>
  <si>
    <t>ug/l</t>
  </si>
  <si>
    <t>mg/l</t>
  </si>
  <si>
    <t>mS/cm</t>
  </si>
  <si>
    <t>NONE</t>
  </si>
  <si>
    <t>mg/Kg</t>
  </si>
  <si>
    <t>DETECTION</t>
  </si>
  <si>
    <t>METHOD</t>
  </si>
  <si>
    <t>/MS</t>
  </si>
  <si>
    <t>/OE</t>
  </si>
  <si>
    <t>/COL</t>
  </si>
  <si>
    <t>/MTR</t>
  </si>
  <si>
    <t>/SIE</t>
  </si>
  <si>
    <t>/GR</t>
  </si>
  <si>
    <t>COMMENTS: 6.3/2128731   (25/03/2022)   CLIENT O/N: ALEX WALKER 1/1</t>
  </si>
  <si>
    <t>SAMPLE NUMBERS</t>
  </si>
  <si>
    <t>TSF POND LIQUOR</t>
  </si>
  <si>
    <t>X</t>
  </si>
  <si>
    <t>THICKENER LIQUOR</t>
  </si>
  <si>
    <t>CHECKS</t>
  </si>
  <si>
    <t>STANDARDS</t>
  </si>
  <si>
    <t>CN std - 0.1 mg/L</t>
  </si>
  <si>
    <t>GWS-4</t>
  </si>
  <si>
    <t>QCI-084</t>
  </si>
  <si>
    <t>CRM-TMDW-500</t>
  </si>
  <si>
    <t>BLANKS</t>
  </si>
  <si>
    <t>Control Blank</t>
  </si>
  <si>
    <t>Analyte Group</t>
  </si>
  <si>
    <t>Aluminium</t>
  </si>
  <si>
    <t>Arsenic</t>
  </si>
  <si>
    <t>Barium</t>
  </si>
  <si>
    <t>Beryllium</t>
  </si>
  <si>
    <t>Boron</t>
  </si>
  <si>
    <t>Cadmium</t>
  </si>
  <si>
    <t>Chromium</t>
  </si>
  <si>
    <t>Cobalt</t>
  </si>
  <si>
    <t>Copper</t>
  </si>
  <si>
    <t>Lead</t>
  </si>
  <si>
    <t>Manganese</t>
  </si>
  <si>
    <t>Mercury</t>
  </si>
  <si>
    <t>Nickel</t>
  </si>
  <si>
    <t>Selenium</t>
  </si>
  <si>
    <t>Silver</t>
  </si>
  <si>
    <t>Vanadium</t>
  </si>
  <si>
    <t>Zinc</t>
  </si>
  <si>
    <t>Bismuth</t>
  </si>
  <si>
    <t>Calcium</t>
  </si>
  <si>
    <t>Potassium</t>
  </si>
  <si>
    <t>Magnesium</t>
  </si>
  <si>
    <t>Molybdenum</t>
  </si>
  <si>
    <t>Sodium</t>
  </si>
  <si>
    <t>Antimony</t>
  </si>
  <si>
    <t>Tin</t>
  </si>
  <si>
    <t>Thorium</t>
  </si>
  <si>
    <t>Uranium</t>
  </si>
  <si>
    <t>Analyte</t>
  </si>
  <si>
    <t>Metals and metalloids</t>
  </si>
  <si>
    <t>Inorganics</t>
  </si>
  <si>
    <t>Chlorine</t>
  </si>
  <si>
    <t>Physiochemical parameters</t>
  </si>
  <si>
    <t>Units</t>
  </si>
  <si>
    <t>LOR</t>
  </si>
  <si>
    <t>Phosphorous</t>
  </si>
  <si>
    <t>Sulfur</t>
  </si>
  <si>
    <t>Strontium</t>
  </si>
  <si>
    <t>Cyanide (total)</t>
  </si>
  <si>
    <t>Cyanide (WAD)</t>
  </si>
  <si>
    <t>Cyanide (free)</t>
  </si>
  <si>
    <t>Iron (sol)</t>
  </si>
  <si>
    <t>Symbol</t>
  </si>
  <si>
    <t>Electrical Conductivity</t>
  </si>
  <si>
    <t>Fe-sol</t>
  </si>
  <si>
    <t>CN-free</t>
  </si>
  <si>
    <t>Job code</t>
  </si>
  <si>
    <t>6.3/2128731</t>
  </si>
  <si>
    <t>6.3/2128607</t>
  </si>
  <si>
    <t>Date</t>
  </si>
  <si>
    <t>N/A</t>
  </si>
  <si>
    <t>ANC</t>
  </si>
  <si>
    <t>C</t>
  </si>
  <si>
    <t>C-Acinsol</t>
  </si>
  <si>
    <t>C-CO3</t>
  </si>
  <si>
    <t>ColourChange</t>
  </si>
  <si>
    <t>Fe</t>
  </si>
  <si>
    <t>Final-pH</t>
  </si>
  <si>
    <t>Fizz-Rate</t>
  </si>
  <si>
    <t>MPA</t>
  </si>
  <si>
    <t>NAG</t>
  </si>
  <si>
    <t>NAGpH</t>
  </si>
  <si>
    <t>NAG(4.5)</t>
  </si>
  <si>
    <t>NAPP</t>
  </si>
  <si>
    <t>pH Drop</t>
  </si>
  <si>
    <t>S-SO4</t>
  </si>
  <si>
    <t>ppm</t>
  </si>
  <si>
    <t>kgH2SO4/t</t>
  </si>
  <si>
    <t>%</t>
  </si>
  <si>
    <t>uS/cm</t>
  </si>
  <si>
    <t>ppb</t>
  </si>
  <si>
    <t>4AB/MS</t>
  </si>
  <si>
    <t>4AB/OE</t>
  </si>
  <si>
    <t>ANCsid/VOL</t>
  </si>
  <si>
    <t>FP1/OE</t>
  </si>
  <si>
    <t>/CSA</t>
  </si>
  <si>
    <t>C71/CSA</t>
  </si>
  <si>
    <t>/CALC</t>
  </si>
  <si>
    <t>CL1/COL</t>
  </si>
  <si>
    <t>ANCsid/QUAL</t>
  </si>
  <si>
    <t>Ws/MTR</t>
  </si>
  <si>
    <t>FC7/SIE</t>
  </si>
  <si>
    <t>ANCsid/MTR</t>
  </si>
  <si>
    <t>AR005/MSHg</t>
  </si>
  <si>
    <t>NAGx/VOL</t>
  </si>
  <si>
    <t>NAGx/MTR</t>
  </si>
  <si>
    <t>SCR/VOL</t>
  </si>
  <si>
    <t>S71/OE</t>
  </si>
  <si>
    <t>S72/GR</t>
  </si>
  <si>
    <t>SE1/MS</t>
  </si>
  <si>
    <t>COMMENTS: 6.3/2128607   (04/04/2022)   CLIENT O/N: A WALKER 1/1</t>
  </si>
  <si>
    <t>TSF TAILINGS SOLID</t>
  </si>
  <si>
    <t>Yes</t>
  </si>
  <si>
    <t>THICKENER TAIL SOLID</t>
  </si>
  <si>
    <t>MPL-6</t>
  </si>
  <si>
    <t>AMIS0343</t>
  </si>
  <si>
    <t>0.5%NaCl-1</t>
  </si>
  <si>
    <t>OREAS 97.01</t>
  </si>
  <si>
    <t>Se 0.1ppm</t>
  </si>
  <si>
    <t>Se 1.0 ppm</t>
  </si>
  <si>
    <t>OREAS 278</t>
  </si>
  <si>
    <t>PD-1</t>
  </si>
  <si>
    <t>HgSTD-7</t>
  </si>
  <si>
    <t>OREAS 630</t>
  </si>
  <si>
    <t>&gt;20000</t>
  </si>
  <si>
    <t>AMIS0167</t>
  </si>
  <si>
    <t>OREAS 13b</t>
  </si>
  <si>
    <t>OREAS 608</t>
  </si>
  <si>
    <t>OREAS 277</t>
  </si>
  <si>
    <t>&gt;2000</t>
  </si>
  <si>
    <t>NAG Std 3</t>
  </si>
  <si>
    <t>OREAS 600b</t>
  </si>
  <si>
    <t>ANC-5</t>
  </si>
  <si>
    <t>TSF Pond Liquor</t>
  </si>
  <si>
    <t>Thickener Liquor</t>
  </si>
  <si>
    <t>TSF Tailings solid</t>
  </si>
  <si>
    <t>Thickener Tail solid</t>
  </si>
  <si>
    <t>Carbon</t>
  </si>
  <si>
    <t>Carbonate</t>
  </si>
  <si>
    <t>Organics</t>
  </si>
  <si>
    <t>Fizz Rate</t>
  </si>
  <si>
    <t>Net Acid Generation</t>
  </si>
  <si>
    <t>Net Acid Generation (4.5)</t>
  </si>
  <si>
    <t>Sulfate</t>
  </si>
  <si>
    <t>Colour Change</t>
  </si>
  <si>
    <t>pH (drop)</t>
  </si>
  <si>
    <t>pH (final)</t>
  </si>
  <si>
    <t>Net Acid Generation (pH)</t>
  </si>
  <si>
    <t>Carbon (Acinsol)</t>
  </si>
  <si>
    <t>Acid Mine Drainage Parameter</t>
  </si>
  <si>
    <t>Net Acid Producing Potential</t>
  </si>
  <si>
    <t>Acid Neutralising Capacity</t>
  </si>
  <si>
    <t>Maximum Potential Acidity</t>
  </si>
  <si>
    <t>-</t>
  </si>
  <si>
    <t>Notes</t>
  </si>
  <si>
    <t>Burkina Faso Quality Guidelines / Standards</t>
  </si>
  <si>
    <r>
      <t>Drinking Water (</t>
    </r>
    <r>
      <rPr>
        <b/>
        <sz val="11"/>
        <color theme="1"/>
        <rFont val="Calibri"/>
        <family val="2"/>
      </rPr>
      <t>µg/L)</t>
    </r>
  </si>
  <si>
    <t>A1</t>
  </si>
  <si>
    <t>A2</t>
  </si>
  <si>
    <t>A3</t>
  </si>
  <si>
    <r>
      <t>Surface Water Discharge  (</t>
    </r>
    <r>
      <rPr>
        <b/>
        <sz val="11"/>
        <color theme="1"/>
        <rFont val="Calibri"/>
        <family val="2"/>
      </rPr>
      <t>µ</t>
    </r>
    <r>
      <rPr>
        <b/>
        <sz val="11"/>
        <color theme="1"/>
        <rFont val="Calibri"/>
        <family val="2"/>
        <scheme val="minor"/>
      </rPr>
      <t>g/L)</t>
    </r>
  </si>
  <si>
    <r>
      <t>Effluent (</t>
    </r>
    <r>
      <rPr>
        <b/>
        <sz val="11"/>
        <color theme="1"/>
        <rFont val="Calibri"/>
        <family val="2"/>
      </rPr>
      <t>µ</t>
    </r>
    <r>
      <rPr>
        <b/>
        <sz val="11"/>
        <color theme="1"/>
        <rFont val="Calibri"/>
        <family val="2"/>
        <scheme val="minor"/>
      </rPr>
      <t>g/L)</t>
    </r>
  </si>
  <si>
    <t>µg/L</t>
  </si>
  <si>
    <t>mg/kg</t>
  </si>
  <si>
    <t>TDS</t>
  </si>
  <si>
    <t>Major Ions</t>
  </si>
  <si>
    <t>Fluoride</t>
  </si>
  <si>
    <t>6.5 - 8.5</t>
  </si>
  <si>
    <t>5.5 - 9.0</t>
  </si>
  <si>
    <t>5.5 - 10.3</t>
  </si>
  <si>
    <t>6.4 - 10.5</t>
  </si>
  <si>
    <r>
      <t>Human Health-Based Investigation Levels</t>
    </r>
    <r>
      <rPr>
        <b/>
        <vertAlign val="superscript"/>
        <sz val="11"/>
        <color theme="1"/>
        <rFont val="Calibri"/>
        <family val="2"/>
        <scheme val="minor"/>
      </rPr>
      <t>1</t>
    </r>
  </si>
  <si>
    <r>
      <t>Ecological Soil Screening Levels</t>
    </r>
    <r>
      <rPr>
        <b/>
        <vertAlign val="superscript"/>
        <sz val="11"/>
        <color theme="1"/>
        <rFont val="Calibri"/>
        <family val="2"/>
        <scheme val="minor"/>
      </rPr>
      <t>2,3</t>
    </r>
  </si>
  <si>
    <t>Nutrients</t>
  </si>
  <si>
    <r>
      <rPr>
        <sz val="11"/>
        <color theme="1"/>
        <rFont val="Calibri"/>
        <family val="2"/>
      </rPr>
      <t>µ</t>
    </r>
    <r>
      <rPr>
        <sz val="11"/>
        <color theme="1"/>
        <rFont val="Calibri"/>
        <family val="2"/>
        <scheme val="minor"/>
      </rPr>
      <t>S/cm</t>
    </r>
  </si>
  <si>
    <r>
      <t>kg H</t>
    </r>
    <r>
      <rPr>
        <vertAlign val="subscript"/>
        <sz val="11"/>
        <color theme="1"/>
        <rFont val="Calibri"/>
        <family val="2"/>
        <scheme val="minor"/>
      </rPr>
      <t>2</t>
    </r>
    <r>
      <rPr>
        <sz val="11"/>
        <color theme="1"/>
        <rFont val="Calibri"/>
        <family val="2"/>
        <scheme val="minor"/>
      </rPr>
      <t>SO</t>
    </r>
    <r>
      <rPr>
        <vertAlign val="subscript"/>
        <sz val="11"/>
        <color theme="1"/>
        <rFont val="Calibri"/>
        <family val="2"/>
        <scheme val="minor"/>
      </rPr>
      <t>4</t>
    </r>
    <r>
      <rPr>
        <sz val="11"/>
        <color theme="1"/>
        <rFont val="Calibri"/>
        <family val="2"/>
        <scheme val="minor"/>
      </rPr>
      <t>/t</t>
    </r>
  </si>
  <si>
    <t xml:space="preserve">A1: simple physical treatment and disinfection
A2: Normal physical and chemical treatment and disinfection
A3: High level physical and chemical treatment and disinfection
</t>
  </si>
  <si>
    <t>Phosphorus</t>
  </si>
  <si>
    <t xml:space="preserve">1. National Environment Protection (Assessment of Site Contamination) Amendment Measure 2013 (No. 1). Health Investigation levels for soil contaminants (Recreational)
2. United States Environmental Protection Agency (U.S. EPA) Ecological Soil Screening Levels (Eco-SSLs), 
http://www.epa.gov/ecotox/ecossl/ (mammalian wildlife). 
3.  Ecological guideline values for phosphorous, sulfur and sulfate are based on National Environment Protection (Assessment of 
Site Contamination) Measure (NEPC, 1999). These former Australian ecological investigation levels for urban areas have 
been included for reference purposes in the absence of other more applicable ecological assessment criteria. 
Levels for Soil Contaminants, Generic Land Use HIL C – Recreational.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</si>
</sst>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vertAlign val="superscript"/>
      <sz val="11"/>
      <color theme="1"/>
      <name val="Calibri"/>
      <family val="2"/>
      <scheme val="minor"/>
    </font>
    <font>
      <b/>
      <sz val="11"/>
      <color theme="1"/>
      <name val="Calibri"/>
      <family val="2"/>
    </font>
    <font>
      <sz val="11"/>
      <color theme="1"/>
      <name val="Calibri"/>
      <family val="2"/>
    </font>
    <font>
      <vertAlign val="subscript"/>
      <sz val="11"/>
      <color theme="1"/>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8989"/>
        <bgColor indexed="64"/>
      </patternFill>
    </fill>
    <fill>
      <patternFill patternType="solid">
        <fgColor rgb="FFFFBDBD"/>
        <bgColor indexed="64"/>
      </patternFill>
    </fill>
    <fill>
      <patternFill patternType="solid">
        <fgColor rgb="FFFF6161"/>
        <bgColor indexed="64"/>
      </patternFill>
    </fill>
    <fill>
      <patternFill patternType="solid">
        <fgColor theme="8" tint="0.39997558519241921"/>
        <bgColor indexed="64"/>
      </patternFill>
    </fill>
    <fill>
      <patternFill patternType="solid">
        <fgColor theme="7"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90">
    <xf numFmtId="0" fontId="0" fillId="0" borderId="0" xfId="0"/>
    <xf numFmtId="0" fontId="0" fillId="0" borderId="0" xfId="0" applyFill="1"/>
    <xf numFmtId="0" fontId="0" fillId="0" borderId="0" xfId="0" applyFill="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1" fillId="0" borderId="0" xfId="0" applyFont="1" applyAlignment="1">
      <alignment vertical="center"/>
    </xf>
    <xf numFmtId="0" fontId="1" fillId="0" borderId="0" xfId="0" applyFont="1" applyFill="1" applyAlignment="1">
      <alignment vertical="center"/>
    </xf>
    <xf numFmtId="0" fontId="0" fillId="0" borderId="1" xfId="0" applyBorder="1" applyAlignment="1">
      <alignment vertical="center" wrapText="1"/>
    </xf>
    <xf numFmtId="0" fontId="0" fillId="0" borderId="1" xfId="0" applyBorder="1" applyAlignment="1">
      <alignment vertical="center"/>
    </xf>
    <xf numFmtId="0" fontId="0" fillId="0" borderId="1" xfId="0" applyFill="1" applyBorder="1" applyAlignment="1">
      <alignment vertical="center"/>
    </xf>
    <xf numFmtId="0" fontId="0" fillId="0" borderId="0" xfId="0" applyAlignment="1">
      <alignment vertical="center"/>
    </xf>
    <xf numFmtId="0" fontId="1" fillId="6" borderId="0" xfId="0" applyFont="1" applyFill="1" applyAlignment="1">
      <alignment vertical="center"/>
    </xf>
    <xf numFmtId="0" fontId="0" fillId="6" borderId="0" xfId="0" applyFill="1" applyAlignment="1">
      <alignment vertical="center"/>
    </xf>
    <xf numFmtId="0" fontId="1" fillId="0" borderId="0" xfId="0" applyFont="1" applyAlignment="1">
      <alignment horizontal="center" vertical="center"/>
    </xf>
    <xf numFmtId="0" fontId="1" fillId="4" borderId="1" xfId="0" applyFont="1" applyFill="1" applyBorder="1" applyAlignment="1">
      <alignment horizontal="center" vertical="center"/>
    </xf>
    <xf numFmtId="0" fontId="1" fillId="4" borderId="4" xfId="0" applyFont="1" applyFill="1" applyBorder="1" applyAlignment="1">
      <alignment horizontal="center" vertical="center"/>
    </xf>
    <xf numFmtId="0" fontId="1" fillId="8"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0" fillId="8" borderId="1" xfId="0" applyFill="1" applyBorder="1" applyAlignment="1">
      <alignment horizontal="center" vertical="center"/>
    </xf>
    <xf numFmtId="0" fontId="0" fillId="7" borderId="1" xfId="0" applyFill="1" applyBorder="1" applyAlignment="1">
      <alignment horizontal="center" vertical="center"/>
    </xf>
    <xf numFmtId="0" fontId="0" fillId="9" borderId="1" xfId="0" applyFill="1" applyBorder="1" applyAlignment="1">
      <alignment horizontal="center" vertical="center"/>
    </xf>
    <xf numFmtId="0" fontId="0" fillId="11" borderId="1" xfId="0" applyFill="1" applyBorder="1" applyAlignment="1">
      <alignment horizontal="center" vertical="center"/>
    </xf>
    <xf numFmtId="0" fontId="0" fillId="3" borderId="1" xfId="0" applyFill="1" applyBorder="1" applyAlignment="1">
      <alignment horizontal="center" vertical="center"/>
    </xf>
    <xf numFmtId="0" fontId="0" fillId="0" borderId="1" xfId="0" applyFill="1" applyBorder="1" applyAlignment="1">
      <alignment horizontal="center" vertical="center"/>
    </xf>
    <xf numFmtId="0" fontId="0" fillId="8" borderId="1" xfId="0" quotePrefix="1" applyFill="1" applyBorder="1" applyAlignment="1">
      <alignment horizontal="center" vertical="center"/>
    </xf>
    <xf numFmtId="0" fontId="0" fillId="7" borderId="1" xfId="0" quotePrefix="1" applyFill="1" applyBorder="1" applyAlignment="1">
      <alignment horizontal="center" vertical="center"/>
    </xf>
    <xf numFmtId="0" fontId="0" fillId="9" borderId="1" xfId="0" quotePrefix="1" applyFill="1" applyBorder="1" applyAlignment="1">
      <alignment horizontal="center" vertical="center"/>
    </xf>
    <xf numFmtId="0" fontId="0" fillId="11" borderId="1" xfId="0" quotePrefix="1" applyFill="1" applyBorder="1" applyAlignment="1">
      <alignment horizontal="center" vertical="center"/>
    </xf>
    <xf numFmtId="0" fontId="0" fillId="6" borderId="0" xfId="0" applyFill="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xf numFmtId="3" fontId="0" fillId="11" borderId="1" xfId="0" applyNumberFormat="1" applyFill="1" applyBorder="1" applyAlignment="1">
      <alignment horizontal="center" vertical="center"/>
    </xf>
    <xf numFmtId="3" fontId="0" fillId="3" borderId="1" xfId="0" applyNumberFormat="1" applyFill="1" applyBorder="1" applyAlignment="1">
      <alignment horizontal="center" vertical="center"/>
    </xf>
    <xf numFmtId="3" fontId="0" fillId="9" borderId="1" xfId="0" applyNumberFormat="1" applyFill="1" applyBorder="1" applyAlignment="1">
      <alignment horizontal="center" vertical="center"/>
    </xf>
    <xf numFmtId="3" fontId="0" fillId="8" borderId="1" xfId="0" applyNumberFormat="1" applyFill="1" applyBorder="1" applyAlignment="1">
      <alignment horizontal="center" vertical="center"/>
    </xf>
    <xf numFmtId="3" fontId="0" fillId="7" borderId="1" xfId="0" applyNumberFormat="1" applyFill="1" applyBorder="1" applyAlignment="1">
      <alignment horizontal="center" vertical="center"/>
    </xf>
    <xf numFmtId="3" fontId="0" fillId="0" borderId="1" xfId="0" applyNumberFormat="1" applyFill="1" applyBorder="1" applyAlignment="1">
      <alignment horizontal="center" vertical="center"/>
    </xf>
    <xf numFmtId="1" fontId="0" fillId="0" borderId="1" xfId="0" applyNumberFormat="1" applyFill="1" applyBorder="1" applyAlignment="1">
      <alignment horizontal="center" vertical="center"/>
    </xf>
    <xf numFmtId="3" fontId="0" fillId="0" borderId="1" xfId="0" applyNumberFormat="1" applyBorder="1" applyAlignment="1">
      <alignment horizontal="center" vertical="center"/>
    </xf>
    <xf numFmtId="0" fontId="1" fillId="0" borderId="0" xfId="0" applyFont="1" applyAlignment="1">
      <alignment vertical="center" wrapText="1"/>
    </xf>
    <xf numFmtId="0" fontId="1" fillId="4" borderId="4" xfId="0" applyFont="1" applyFill="1" applyBorder="1" applyAlignment="1">
      <alignment horizontal="right" vertical="center"/>
    </xf>
    <xf numFmtId="0" fontId="1" fillId="4" borderId="9" xfId="0" applyFont="1" applyFill="1" applyBorder="1" applyAlignment="1">
      <alignment horizontal="right" vertical="center"/>
    </xf>
    <xf numFmtId="0" fontId="1" fillId="4" borderId="4" xfId="0" applyFont="1" applyFill="1" applyBorder="1" applyAlignment="1">
      <alignment vertical="center" wrapText="1"/>
    </xf>
    <xf numFmtId="0" fontId="1" fillId="4" borderId="4" xfId="0" applyFont="1" applyFill="1" applyBorder="1" applyAlignment="1">
      <alignment vertical="center"/>
    </xf>
    <xf numFmtId="0" fontId="1" fillId="10" borderId="5"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0" fillId="10" borderId="1" xfId="0" applyFill="1" applyBorder="1" applyAlignment="1">
      <alignment horizontal="center" vertical="center"/>
    </xf>
    <xf numFmtId="0" fontId="0" fillId="5" borderId="1" xfId="0" applyFill="1" applyBorder="1" applyAlignment="1">
      <alignment horizontal="center" vertical="center"/>
    </xf>
    <xf numFmtId="0" fontId="0" fillId="0" borderId="7" xfId="0" applyFill="1" applyBorder="1" applyAlignment="1">
      <alignment horizontal="center" vertical="center"/>
    </xf>
    <xf numFmtId="3" fontId="0" fillId="0" borderId="7" xfId="0" applyNumberFormat="1" applyFill="1" applyBorder="1" applyAlignment="1">
      <alignment horizontal="center" vertical="center"/>
    </xf>
    <xf numFmtId="0" fontId="0" fillId="5" borderId="7" xfId="0" applyFill="1" applyBorder="1" applyAlignment="1">
      <alignment horizontal="center" vertical="center"/>
    </xf>
    <xf numFmtId="3" fontId="0" fillId="5" borderId="1" xfId="0" applyNumberFormat="1" applyFill="1" applyBorder="1" applyAlignment="1">
      <alignment horizontal="center" vertical="center"/>
    </xf>
    <xf numFmtId="1" fontId="0" fillId="0" borderId="7" xfId="0" applyNumberFormat="1" applyFill="1" applyBorder="1" applyAlignment="1">
      <alignment horizontal="center" vertical="center"/>
    </xf>
    <xf numFmtId="3" fontId="0" fillId="10" borderId="1" xfId="0" applyNumberFormat="1" applyFill="1" applyBorder="1" applyAlignment="1">
      <alignment horizontal="center" vertical="center"/>
    </xf>
    <xf numFmtId="0" fontId="0" fillId="0" borderId="1" xfId="0" applyFill="1" applyBorder="1" applyAlignment="1">
      <alignment vertical="center" wrapText="1"/>
    </xf>
    <xf numFmtId="0" fontId="0" fillId="2" borderId="1" xfId="0" applyFill="1" applyBorder="1" applyAlignment="1">
      <alignment vertical="center" wrapText="1"/>
    </xf>
    <xf numFmtId="0" fontId="0" fillId="0" borderId="0" xfId="0" applyAlignment="1">
      <alignment vertical="center" wrapText="1"/>
    </xf>
    <xf numFmtId="2" fontId="0" fillId="0" borderId="0" xfId="0" applyNumberFormat="1" applyAlignment="1">
      <alignment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4"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6" borderId="0" xfId="0" applyFont="1" applyFill="1" applyAlignment="1">
      <alignment horizontal="left" vertical="center" wrapText="1"/>
    </xf>
    <xf numFmtId="14" fontId="1" fillId="4" borderId="6" xfId="0" applyNumberFormat="1" applyFont="1" applyFill="1" applyBorder="1" applyAlignment="1">
      <alignment horizontal="center" vertical="center"/>
    </xf>
    <xf numFmtId="14" fontId="1" fillId="4" borderId="7" xfId="0" applyNumberFormat="1" applyFont="1" applyFill="1" applyBorder="1" applyAlignment="1">
      <alignment horizontal="center" vertical="center"/>
    </xf>
    <xf numFmtId="0" fontId="1" fillId="4" borderId="11" xfId="0" applyFont="1" applyFill="1" applyBorder="1" applyAlignment="1">
      <alignment horizontal="center" vertical="center"/>
    </xf>
    <xf numFmtId="0" fontId="1" fillId="11" borderId="4"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0" fillId="0" borderId="4"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xf>
    <xf numFmtId="0" fontId="0" fillId="0" borderId="9"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xf>
    <xf numFmtId="0" fontId="1" fillId="4" borderId="3" xfId="0" applyFont="1" applyFill="1"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6161"/>
      <color rgb="FFFFBDBD"/>
      <color rgb="FFFF8989"/>
      <color rgb="FFFF7575"/>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E598-B445-4FC6-A943-3B9440C937CD}">
  <dimension ref="A2:AG45"/>
  <sheetViews>
    <sheetView tabSelected="1" topLeftCell="A4" workbookViewId="0">
      <selection activeCell="B31" sqref="B31"/>
    </sheetView>
  </sheetViews>
  <sheetFormatPr defaultRowHeight="15" x14ac:dyDescent="0.25"/>
  <cols>
    <col min="1" max="1" width="15.42578125" style="10" customWidth="1"/>
    <col min="2" max="2" width="20.85546875" style="10" customWidth="1"/>
    <col min="3" max="3" width="11.140625" style="30" bestFit="1" customWidth="1"/>
    <col min="4" max="5" width="9.140625" style="30"/>
    <col min="6" max="8" width="11.85546875" style="30" customWidth="1"/>
    <col min="9" max="9" width="16.140625" style="30" customWidth="1"/>
    <col min="10" max="10" width="11.85546875" style="30" customWidth="1"/>
    <col min="11" max="11" width="9.140625" style="30"/>
    <col min="12" max="12" width="12.7109375" style="30" customWidth="1"/>
    <col min="13" max="13" width="11.5703125" style="10" customWidth="1"/>
    <col min="14" max="14" width="12.140625" style="10" customWidth="1"/>
    <col min="15" max="15" width="10.5703125" style="10" customWidth="1"/>
    <col min="16" max="16384" width="9.140625" style="10"/>
  </cols>
  <sheetData>
    <row r="2" spans="1:33" s="5" customFormat="1" x14ac:dyDescent="0.25">
      <c r="C2" s="13"/>
      <c r="D2" s="31"/>
      <c r="E2" s="13"/>
      <c r="F2" s="13"/>
      <c r="G2" s="13"/>
      <c r="H2" s="13"/>
      <c r="I2" s="13"/>
      <c r="J2" s="14" t="s">
        <v>113</v>
      </c>
      <c r="K2" s="59" t="s">
        <v>114</v>
      </c>
      <c r="L2" s="60"/>
      <c r="P2" s="6"/>
      <c r="Q2" s="6"/>
      <c r="R2" s="6"/>
      <c r="S2" s="6"/>
      <c r="T2" s="6"/>
      <c r="U2" s="6"/>
      <c r="V2" s="6"/>
      <c r="W2" s="6"/>
      <c r="X2" s="6"/>
      <c r="Y2" s="6"/>
      <c r="Z2" s="6"/>
      <c r="AA2" s="6"/>
      <c r="AB2" s="6"/>
      <c r="AC2" s="6"/>
      <c r="AD2" s="6"/>
      <c r="AE2" s="6"/>
      <c r="AF2" s="6"/>
      <c r="AG2" s="6"/>
    </row>
    <row r="3" spans="1:33" s="5" customFormat="1" x14ac:dyDescent="0.25">
      <c r="C3" s="13"/>
      <c r="D3" s="13"/>
      <c r="E3" s="13"/>
      <c r="F3" s="13"/>
      <c r="G3" s="13"/>
      <c r="H3" s="13"/>
      <c r="I3" s="13"/>
      <c r="J3" s="15" t="s">
        <v>116</v>
      </c>
      <c r="K3" s="65">
        <v>44645</v>
      </c>
      <c r="L3" s="66"/>
      <c r="P3" s="6"/>
      <c r="Q3" s="6"/>
      <c r="R3" s="6"/>
      <c r="S3" s="6"/>
      <c r="T3" s="6"/>
      <c r="U3" s="6"/>
      <c r="V3" s="6"/>
      <c r="W3" s="6"/>
      <c r="X3" s="6"/>
      <c r="Y3" s="6"/>
      <c r="Z3" s="6"/>
      <c r="AA3" s="6"/>
      <c r="AB3" s="6"/>
      <c r="AC3" s="6"/>
      <c r="AD3" s="6"/>
      <c r="AE3" s="6"/>
      <c r="AF3" s="6"/>
      <c r="AG3" s="6"/>
    </row>
    <row r="4" spans="1:33" s="5" customFormat="1" x14ac:dyDescent="0.25">
      <c r="A4" s="81" t="s">
        <v>67</v>
      </c>
      <c r="B4" s="81" t="s">
        <v>95</v>
      </c>
      <c r="C4" s="81" t="s">
        <v>109</v>
      </c>
      <c r="D4" s="81" t="s">
        <v>100</v>
      </c>
      <c r="E4" s="81" t="s">
        <v>101</v>
      </c>
      <c r="F4" s="59" t="s">
        <v>202</v>
      </c>
      <c r="G4" s="67"/>
      <c r="H4" s="67"/>
      <c r="I4" s="67"/>
      <c r="J4" s="60"/>
      <c r="K4" s="61" t="s">
        <v>180</v>
      </c>
      <c r="L4" s="61" t="s">
        <v>181</v>
      </c>
      <c r="P4" s="6"/>
      <c r="Q4" s="6"/>
      <c r="R4" s="6"/>
      <c r="S4" s="6"/>
      <c r="T4" s="6"/>
      <c r="U4" s="6"/>
      <c r="V4" s="6"/>
      <c r="W4" s="6"/>
      <c r="X4" s="6"/>
      <c r="Y4" s="6"/>
      <c r="Z4" s="6"/>
      <c r="AA4" s="6"/>
      <c r="AB4" s="6"/>
      <c r="AC4" s="6"/>
      <c r="AD4" s="6"/>
      <c r="AE4" s="6"/>
      <c r="AF4" s="6"/>
      <c r="AG4" s="6"/>
    </row>
    <row r="5" spans="1:33" s="5" customFormat="1" x14ac:dyDescent="0.25">
      <c r="A5" s="81"/>
      <c r="B5" s="81"/>
      <c r="C5" s="81"/>
      <c r="D5" s="81"/>
      <c r="E5" s="81"/>
      <c r="F5" s="59" t="s">
        <v>203</v>
      </c>
      <c r="G5" s="67"/>
      <c r="H5" s="60"/>
      <c r="I5" s="68" t="s">
        <v>207</v>
      </c>
      <c r="J5" s="70" t="s">
        <v>208</v>
      </c>
      <c r="K5" s="62"/>
      <c r="L5" s="62"/>
      <c r="P5" s="6"/>
      <c r="Q5" s="6"/>
      <c r="R5" s="6"/>
      <c r="S5" s="6"/>
      <c r="T5" s="6"/>
      <c r="U5" s="6"/>
      <c r="V5" s="6"/>
      <c r="W5" s="6"/>
      <c r="X5" s="6"/>
      <c r="Y5" s="6"/>
      <c r="Z5" s="6"/>
      <c r="AA5" s="6"/>
      <c r="AB5" s="6"/>
      <c r="AC5" s="6"/>
      <c r="AD5" s="6"/>
      <c r="AE5" s="6"/>
      <c r="AF5" s="6"/>
      <c r="AG5" s="6"/>
    </row>
    <row r="6" spans="1:33" s="5" customFormat="1" x14ac:dyDescent="0.25">
      <c r="A6" s="81"/>
      <c r="B6" s="81"/>
      <c r="C6" s="81"/>
      <c r="D6" s="81"/>
      <c r="E6" s="81"/>
      <c r="F6" s="16" t="s">
        <v>204</v>
      </c>
      <c r="G6" s="17" t="s">
        <v>205</v>
      </c>
      <c r="H6" s="18" t="s">
        <v>206</v>
      </c>
      <c r="I6" s="69"/>
      <c r="J6" s="71"/>
      <c r="K6" s="63"/>
      <c r="L6" s="63"/>
    </row>
    <row r="7" spans="1:33" x14ac:dyDescent="0.25">
      <c r="A7" s="72" t="s">
        <v>99</v>
      </c>
      <c r="B7" s="7" t="s">
        <v>110</v>
      </c>
      <c r="C7" s="3" t="s">
        <v>14</v>
      </c>
      <c r="D7" s="3" t="s">
        <v>43</v>
      </c>
      <c r="E7" s="3">
        <v>0.01</v>
      </c>
      <c r="F7" s="19">
        <v>1000</v>
      </c>
      <c r="G7" s="20">
        <v>1000</v>
      </c>
      <c r="H7" s="21">
        <v>1000</v>
      </c>
      <c r="I7" s="22" t="s">
        <v>200</v>
      </c>
      <c r="J7" s="23" t="s">
        <v>200</v>
      </c>
      <c r="K7" s="24">
        <v>0.82</v>
      </c>
      <c r="L7" s="24">
        <v>1.33</v>
      </c>
    </row>
    <row r="8" spans="1:33" x14ac:dyDescent="0.25">
      <c r="A8" s="73"/>
      <c r="B8" s="8" t="s">
        <v>29</v>
      </c>
      <c r="C8" s="3" t="s">
        <v>29</v>
      </c>
      <c r="D8" s="3" t="s">
        <v>200</v>
      </c>
      <c r="E8" s="3">
        <v>0.1</v>
      </c>
      <c r="F8" s="19" t="s">
        <v>214</v>
      </c>
      <c r="G8" s="20" t="s">
        <v>215</v>
      </c>
      <c r="H8" s="21" t="s">
        <v>216</v>
      </c>
      <c r="I8" s="22" t="s">
        <v>217</v>
      </c>
      <c r="J8" s="23" t="s">
        <v>217</v>
      </c>
      <c r="K8" s="24">
        <v>7.8</v>
      </c>
      <c r="L8" s="20">
        <v>9.6999999999999993</v>
      </c>
    </row>
    <row r="9" spans="1:33" x14ac:dyDescent="0.25">
      <c r="A9" s="74"/>
      <c r="B9" s="9" t="s">
        <v>211</v>
      </c>
      <c r="C9" s="24" t="s">
        <v>35</v>
      </c>
      <c r="D9" s="24" t="s">
        <v>210</v>
      </c>
      <c r="E9" s="3">
        <v>20</v>
      </c>
      <c r="F9" s="19" t="s">
        <v>200</v>
      </c>
      <c r="G9" s="20" t="s">
        <v>200</v>
      </c>
      <c r="H9" s="21" t="s">
        <v>200</v>
      </c>
      <c r="I9" s="22" t="s">
        <v>200</v>
      </c>
      <c r="J9" s="23" t="s">
        <v>200</v>
      </c>
      <c r="K9" s="24">
        <v>525</v>
      </c>
      <c r="L9" s="24">
        <v>861</v>
      </c>
    </row>
    <row r="10" spans="1:33" ht="15" customHeight="1" x14ac:dyDescent="0.25">
      <c r="A10" s="72" t="s">
        <v>96</v>
      </c>
      <c r="B10" s="8" t="s">
        <v>68</v>
      </c>
      <c r="C10" s="3" t="s">
        <v>2</v>
      </c>
      <c r="D10" s="3" t="s">
        <v>209</v>
      </c>
      <c r="E10" s="3">
        <f>1000*0.01</f>
        <v>10</v>
      </c>
      <c r="F10" s="19" t="s">
        <v>200</v>
      </c>
      <c r="G10" s="20" t="s">
        <v>200</v>
      </c>
      <c r="H10" s="34">
        <f>1000*0.7</f>
        <v>700</v>
      </c>
      <c r="I10" s="32">
        <f>1000*10</f>
        <v>10000</v>
      </c>
      <c r="J10" s="33">
        <f>1000*10</f>
        <v>10000</v>
      </c>
      <c r="K10" s="24">
        <f>1000*0.02</f>
        <v>20</v>
      </c>
      <c r="L10" s="24">
        <f>1000*0.22</f>
        <v>220</v>
      </c>
    </row>
    <row r="11" spans="1:33" x14ac:dyDescent="0.25">
      <c r="A11" s="73"/>
      <c r="B11" s="8" t="s">
        <v>91</v>
      </c>
      <c r="C11" s="3" t="s">
        <v>31</v>
      </c>
      <c r="D11" s="3" t="s">
        <v>209</v>
      </c>
      <c r="E11" s="3">
        <v>0.01</v>
      </c>
      <c r="F11" s="19" t="s">
        <v>200</v>
      </c>
      <c r="G11" s="20" t="s">
        <v>200</v>
      </c>
      <c r="H11" s="21" t="s">
        <v>200</v>
      </c>
      <c r="I11" s="32">
        <f>1000*0.1</f>
        <v>100</v>
      </c>
      <c r="J11" s="33">
        <f>1000*0.1</f>
        <v>100</v>
      </c>
      <c r="K11" s="24">
        <v>5.63</v>
      </c>
      <c r="L11" s="24">
        <v>14.65</v>
      </c>
    </row>
    <row r="12" spans="1:33" x14ac:dyDescent="0.25">
      <c r="A12" s="73"/>
      <c r="B12" s="8" t="s">
        <v>69</v>
      </c>
      <c r="C12" s="3" t="s">
        <v>3</v>
      </c>
      <c r="D12" s="3" t="s">
        <v>209</v>
      </c>
      <c r="E12" s="3">
        <v>0.1</v>
      </c>
      <c r="F12" s="35">
        <f>1000*0.01</f>
        <v>10</v>
      </c>
      <c r="G12" s="20" t="s">
        <v>200</v>
      </c>
      <c r="H12" s="34">
        <f>1000*0.05</f>
        <v>50</v>
      </c>
      <c r="I12" s="32">
        <f>1000*0.14</f>
        <v>140</v>
      </c>
      <c r="J12" s="33">
        <f>1000*0.14</f>
        <v>140</v>
      </c>
      <c r="K12" s="24">
        <v>6.9</v>
      </c>
      <c r="L12" s="19">
        <v>10.8</v>
      </c>
    </row>
    <row r="13" spans="1:33" x14ac:dyDescent="0.25">
      <c r="A13" s="73"/>
      <c r="B13" s="8" t="s">
        <v>70</v>
      </c>
      <c r="C13" s="3" t="s">
        <v>5</v>
      </c>
      <c r="D13" s="3" t="s">
        <v>209</v>
      </c>
      <c r="E13" s="3">
        <v>0.05</v>
      </c>
      <c r="F13" s="19" t="s">
        <v>200</v>
      </c>
      <c r="G13" s="20" t="s">
        <v>200</v>
      </c>
      <c r="H13" s="21" t="s">
        <v>200</v>
      </c>
      <c r="I13" s="32">
        <f>1000*5</f>
        <v>5000</v>
      </c>
      <c r="J13" s="33">
        <f>1000*5</f>
        <v>5000</v>
      </c>
      <c r="K13" s="24">
        <v>36.15</v>
      </c>
      <c r="L13" s="24">
        <v>10.53</v>
      </c>
    </row>
    <row r="14" spans="1:33" x14ac:dyDescent="0.25">
      <c r="A14" s="73"/>
      <c r="B14" s="8" t="s">
        <v>72</v>
      </c>
      <c r="C14" s="3" t="s">
        <v>4</v>
      </c>
      <c r="D14" s="3" t="s">
        <v>209</v>
      </c>
      <c r="E14" s="3">
        <f>1000*0.01</f>
        <v>10</v>
      </c>
      <c r="F14" s="35">
        <f>1000*1</f>
        <v>1000</v>
      </c>
      <c r="G14" s="36">
        <f>1000*1</f>
        <v>1000</v>
      </c>
      <c r="H14" s="34">
        <f>1000*1</f>
        <v>1000</v>
      </c>
      <c r="I14" s="32">
        <f>1000*2</f>
        <v>2000</v>
      </c>
      <c r="J14" s="33">
        <f>1000*2</f>
        <v>2000</v>
      </c>
      <c r="K14" s="24">
        <f>1000*0.15</f>
        <v>150</v>
      </c>
      <c r="L14" s="24">
        <f>1000*0.19</f>
        <v>190</v>
      </c>
    </row>
    <row r="15" spans="1:33" x14ac:dyDescent="0.25">
      <c r="A15" s="73"/>
      <c r="B15" s="8" t="s">
        <v>73</v>
      </c>
      <c r="C15" s="3" t="s">
        <v>9</v>
      </c>
      <c r="D15" s="3" t="s">
        <v>209</v>
      </c>
      <c r="E15" s="3">
        <v>0.02</v>
      </c>
      <c r="F15" s="35">
        <f>1000*0.001</f>
        <v>1</v>
      </c>
      <c r="G15" s="36">
        <f>1000*0.001</f>
        <v>1</v>
      </c>
      <c r="H15" s="34">
        <f>1000*0.001</f>
        <v>1</v>
      </c>
      <c r="I15" s="32">
        <f>1000*0.1</f>
        <v>100</v>
      </c>
      <c r="J15" s="33">
        <f>1000*0.1</f>
        <v>100</v>
      </c>
      <c r="K15" s="24">
        <v>0.1</v>
      </c>
      <c r="L15" s="24">
        <v>0.28999999999999998</v>
      </c>
    </row>
    <row r="16" spans="1:33" x14ac:dyDescent="0.25">
      <c r="A16" s="73"/>
      <c r="B16" s="8" t="s">
        <v>75</v>
      </c>
      <c r="C16" s="3" t="s">
        <v>11</v>
      </c>
      <c r="D16" s="3" t="s">
        <v>209</v>
      </c>
      <c r="E16" s="3">
        <v>0.1</v>
      </c>
      <c r="F16" s="19" t="s">
        <v>200</v>
      </c>
      <c r="G16" s="20" t="s">
        <v>200</v>
      </c>
      <c r="H16" s="21" t="s">
        <v>200</v>
      </c>
      <c r="I16" s="32">
        <f>1000*0.5</f>
        <v>500</v>
      </c>
      <c r="J16" s="33">
        <f>1000*0.5</f>
        <v>500</v>
      </c>
      <c r="K16" s="24">
        <v>167</v>
      </c>
      <c r="L16" s="38">
        <v>326.2</v>
      </c>
    </row>
    <row r="17" spans="1:12" x14ac:dyDescent="0.25">
      <c r="A17" s="73"/>
      <c r="B17" s="8" t="s">
        <v>76</v>
      </c>
      <c r="C17" s="3" t="s">
        <v>13</v>
      </c>
      <c r="D17" s="3" t="s">
        <v>209</v>
      </c>
      <c r="E17" s="3">
        <f>1000*0.01</f>
        <v>10</v>
      </c>
      <c r="F17" s="35">
        <f>1000*0.02</f>
        <v>20</v>
      </c>
      <c r="G17" s="36">
        <f>1000*0.05</f>
        <v>50</v>
      </c>
      <c r="H17" s="34">
        <f>1000*1</f>
        <v>1000</v>
      </c>
      <c r="I17" s="32">
        <f>1000*1</f>
        <v>1000</v>
      </c>
      <c r="J17" s="33">
        <f>1000*1</f>
        <v>1000</v>
      </c>
      <c r="K17" s="19">
        <f>1000*0.04</f>
        <v>40</v>
      </c>
      <c r="L17" s="33">
        <f>1000*2.15</f>
        <v>2150</v>
      </c>
    </row>
    <row r="18" spans="1:12" x14ac:dyDescent="0.25">
      <c r="A18" s="73"/>
      <c r="B18" s="8" t="s">
        <v>108</v>
      </c>
      <c r="C18" s="3" t="s">
        <v>111</v>
      </c>
      <c r="D18" s="3" t="s">
        <v>209</v>
      </c>
      <c r="E18" s="3">
        <f>1000*0.01</f>
        <v>10</v>
      </c>
      <c r="F18" s="35">
        <f>1000*0.1</f>
        <v>100</v>
      </c>
      <c r="G18" s="36">
        <f>1000*1</f>
        <v>1000</v>
      </c>
      <c r="H18" s="34">
        <f>1000*1</f>
        <v>1000</v>
      </c>
      <c r="I18" s="32">
        <f>1000*20</f>
        <v>20000</v>
      </c>
      <c r="J18" s="33">
        <f>1000*20</f>
        <v>20000</v>
      </c>
      <c r="K18" s="24">
        <f>1000*0.07</f>
        <v>70</v>
      </c>
      <c r="L18" s="34">
        <f>1000*1.64</f>
        <v>1640</v>
      </c>
    </row>
    <row r="19" spans="1:12" x14ac:dyDescent="0.25">
      <c r="A19" s="73"/>
      <c r="B19" s="8" t="s">
        <v>77</v>
      </c>
      <c r="C19" s="3" t="s">
        <v>25</v>
      </c>
      <c r="D19" s="3" t="s">
        <v>209</v>
      </c>
      <c r="E19" s="3">
        <v>0.5</v>
      </c>
      <c r="F19" s="35">
        <f>1000*0.05</f>
        <v>50</v>
      </c>
      <c r="G19" s="20" t="s">
        <v>200</v>
      </c>
      <c r="H19" s="34">
        <f>1000*0.05</f>
        <v>50</v>
      </c>
      <c r="I19" s="32">
        <f>1000*0.5</f>
        <v>500</v>
      </c>
      <c r="J19" s="33">
        <f>1000*0.5</f>
        <v>500</v>
      </c>
      <c r="K19" s="24" t="s">
        <v>200</v>
      </c>
      <c r="L19" s="24">
        <v>0.7</v>
      </c>
    </row>
    <row r="20" spans="1:12" x14ac:dyDescent="0.25">
      <c r="A20" s="73"/>
      <c r="B20" s="8" t="s">
        <v>78</v>
      </c>
      <c r="C20" s="3" t="s">
        <v>20</v>
      </c>
      <c r="D20" s="3" t="s">
        <v>209</v>
      </c>
      <c r="E20" s="3">
        <f>1000*0.001</f>
        <v>1</v>
      </c>
      <c r="F20" s="35">
        <f>1000*0.05</f>
        <v>50</v>
      </c>
      <c r="G20" s="36">
        <f>1000*0.1</f>
        <v>100</v>
      </c>
      <c r="H20" s="34">
        <f>1000*1</f>
        <v>1000</v>
      </c>
      <c r="I20" s="32">
        <f>1000*1.2</f>
        <v>1200</v>
      </c>
      <c r="J20" s="33">
        <f>1000*1.2</f>
        <v>1200</v>
      </c>
      <c r="K20" s="24">
        <f>1000*0.027</f>
        <v>27</v>
      </c>
      <c r="L20" s="24">
        <f>1000*0.001</f>
        <v>1</v>
      </c>
    </row>
    <row r="21" spans="1:12" x14ac:dyDescent="0.25">
      <c r="A21" s="73"/>
      <c r="B21" s="8" t="s">
        <v>89</v>
      </c>
      <c r="C21" s="3" t="s">
        <v>21</v>
      </c>
      <c r="D21" s="3" t="s">
        <v>209</v>
      </c>
      <c r="E21" s="3">
        <f>1000*0.05</f>
        <v>50</v>
      </c>
      <c r="F21" s="19" t="s">
        <v>200</v>
      </c>
      <c r="G21" s="20" t="s">
        <v>200</v>
      </c>
      <c r="H21" s="21" t="s">
        <v>200</v>
      </c>
      <c r="I21" s="32">
        <f>1000*0.5</f>
        <v>500</v>
      </c>
      <c r="J21" s="33">
        <f>1000*0.5</f>
        <v>500</v>
      </c>
      <c r="K21" s="33">
        <v>1457.63</v>
      </c>
      <c r="L21" s="33">
        <v>2685.61</v>
      </c>
    </row>
    <row r="22" spans="1:12" x14ac:dyDescent="0.25">
      <c r="A22" s="73"/>
      <c r="B22" s="8" t="s">
        <v>80</v>
      </c>
      <c r="C22" s="3" t="s">
        <v>23</v>
      </c>
      <c r="D22" s="3" t="s">
        <v>209</v>
      </c>
      <c r="E22" s="3">
        <f>1000*0.01</f>
        <v>10</v>
      </c>
      <c r="F22" s="19" t="s">
        <v>200</v>
      </c>
      <c r="G22" s="20" t="s">
        <v>200</v>
      </c>
      <c r="H22" s="21" t="s">
        <v>200</v>
      </c>
      <c r="I22" s="32">
        <f>1000*2</f>
        <v>2000</v>
      </c>
      <c r="J22" s="33">
        <f>1000*2</f>
        <v>2000</v>
      </c>
      <c r="K22" s="24">
        <f>1000*0.02</f>
        <v>20</v>
      </c>
      <c r="L22" s="24">
        <f>1000*0.17</f>
        <v>170</v>
      </c>
    </row>
    <row r="23" spans="1:12" x14ac:dyDescent="0.25">
      <c r="A23" s="73"/>
      <c r="B23" s="8" t="s">
        <v>81</v>
      </c>
      <c r="C23" s="3" t="s">
        <v>32</v>
      </c>
      <c r="D23" s="3" t="s">
        <v>209</v>
      </c>
      <c r="E23" s="3">
        <v>0.5</v>
      </c>
      <c r="F23" s="19" t="s">
        <v>200</v>
      </c>
      <c r="G23" s="20" t="s">
        <v>200</v>
      </c>
      <c r="H23" s="21" t="s">
        <v>200</v>
      </c>
      <c r="I23" s="32">
        <f>1000*0.8</f>
        <v>800</v>
      </c>
      <c r="J23" s="33">
        <f>1000*0.8</f>
        <v>800</v>
      </c>
      <c r="K23" s="24">
        <v>6.2</v>
      </c>
      <c r="L23" s="24">
        <v>35.6</v>
      </c>
    </row>
    <row r="24" spans="1:12" x14ac:dyDescent="0.25">
      <c r="A24" s="73"/>
      <c r="B24" s="8" t="s">
        <v>82</v>
      </c>
      <c r="C24" s="3" t="s">
        <v>1</v>
      </c>
      <c r="D24" s="3" t="s">
        <v>209</v>
      </c>
      <c r="E24" s="3">
        <v>0.01</v>
      </c>
      <c r="F24" s="19" t="s">
        <v>200</v>
      </c>
      <c r="G24" s="20" t="s">
        <v>200</v>
      </c>
      <c r="H24" s="21" t="s">
        <v>200</v>
      </c>
      <c r="I24" s="32">
        <f>1000*0.1</f>
        <v>100</v>
      </c>
      <c r="J24" s="33">
        <f>1000*0.1</f>
        <v>100</v>
      </c>
      <c r="K24" s="24">
        <v>0.12</v>
      </c>
      <c r="L24" s="38">
        <v>42.92</v>
      </c>
    </row>
    <row r="25" spans="1:12" x14ac:dyDescent="0.25">
      <c r="A25" s="73"/>
      <c r="B25" s="8" t="s">
        <v>104</v>
      </c>
      <c r="C25" s="3" t="s">
        <v>34</v>
      </c>
      <c r="D25" s="3" t="s">
        <v>209</v>
      </c>
      <c r="E25" s="3">
        <v>0.02</v>
      </c>
      <c r="F25" s="19" t="s">
        <v>200</v>
      </c>
      <c r="G25" s="20" t="s">
        <v>200</v>
      </c>
      <c r="H25" s="21" t="s">
        <v>200</v>
      </c>
      <c r="I25" s="22" t="s">
        <v>200</v>
      </c>
      <c r="J25" s="23" t="s">
        <v>200</v>
      </c>
      <c r="K25" s="38">
        <v>264.43</v>
      </c>
      <c r="L25" s="38">
        <v>236.11</v>
      </c>
    </row>
    <row r="26" spans="1:12" x14ac:dyDescent="0.25">
      <c r="A26" s="73"/>
      <c r="B26" s="8" t="s">
        <v>92</v>
      </c>
      <c r="C26" s="3" t="s">
        <v>33</v>
      </c>
      <c r="D26" s="3" t="s">
        <v>209</v>
      </c>
      <c r="E26" s="3">
        <v>0.1</v>
      </c>
      <c r="F26" s="19" t="s">
        <v>200</v>
      </c>
      <c r="G26" s="20" t="s">
        <v>200</v>
      </c>
      <c r="H26" s="21" t="s">
        <v>200</v>
      </c>
      <c r="I26" s="32">
        <f>1000*2</f>
        <v>2000</v>
      </c>
      <c r="J26" s="33">
        <f>1000*2</f>
        <v>2000</v>
      </c>
      <c r="K26" s="24">
        <v>0.2</v>
      </c>
      <c r="L26" s="24" t="s">
        <v>200</v>
      </c>
    </row>
    <row r="27" spans="1:12" x14ac:dyDescent="0.25">
      <c r="A27" s="73"/>
      <c r="B27" s="8" t="s">
        <v>94</v>
      </c>
      <c r="C27" s="3" t="s">
        <v>37</v>
      </c>
      <c r="D27" s="3" t="s">
        <v>209</v>
      </c>
      <c r="E27" s="3">
        <v>5.0000000000000001E-3</v>
      </c>
      <c r="F27" s="19" t="s">
        <v>200</v>
      </c>
      <c r="G27" s="20" t="s">
        <v>200</v>
      </c>
      <c r="H27" s="21" t="s">
        <v>200</v>
      </c>
      <c r="I27" s="22" t="s">
        <v>200</v>
      </c>
      <c r="J27" s="23" t="s">
        <v>200</v>
      </c>
      <c r="K27" s="24">
        <v>1.385</v>
      </c>
      <c r="L27" s="24">
        <v>6.9000000000000006E-2</v>
      </c>
    </row>
    <row r="28" spans="1:12" x14ac:dyDescent="0.25">
      <c r="A28" s="73"/>
      <c r="B28" s="8" t="s">
        <v>83</v>
      </c>
      <c r="C28" s="3" t="s">
        <v>38</v>
      </c>
      <c r="D28" s="3" t="s">
        <v>209</v>
      </c>
      <c r="E28" s="3">
        <v>10</v>
      </c>
      <c r="F28" s="19" t="s">
        <v>200</v>
      </c>
      <c r="G28" s="20" t="s">
        <v>200</v>
      </c>
      <c r="H28" s="21" t="s">
        <v>200</v>
      </c>
      <c r="I28" s="22" t="s">
        <v>200</v>
      </c>
      <c r="J28" s="23" t="s">
        <v>200</v>
      </c>
      <c r="K28" s="24">
        <v>85</v>
      </c>
      <c r="L28" s="24">
        <v>216</v>
      </c>
    </row>
    <row r="29" spans="1:12" x14ac:dyDescent="0.25">
      <c r="A29" s="74"/>
      <c r="B29" s="8" t="s">
        <v>84</v>
      </c>
      <c r="C29" s="3" t="s">
        <v>39</v>
      </c>
      <c r="D29" s="3" t="s">
        <v>209</v>
      </c>
      <c r="E29" s="3">
        <f>1000*0.01</f>
        <v>10</v>
      </c>
      <c r="F29" s="35">
        <f>1000*0.5</f>
        <v>500</v>
      </c>
      <c r="G29" s="36">
        <f>1000*1</f>
        <v>1000</v>
      </c>
      <c r="H29" s="34">
        <f>1000*1</f>
        <v>1000</v>
      </c>
      <c r="I29" s="32">
        <f>1000*5</f>
        <v>5000</v>
      </c>
      <c r="J29" s="33">
        <f>1000*5</f>
        <v>5000</v>
      </c>
      <c r="K29" s="24" t="s">
        <v>200</v>
      </c>
      <c r="L29" s="24">
        <f>1000*0.08</f>
        <v>80</v>
      </c>
    </row>
    <row r="30" spans="1:12" x14ac:dyDescent="0.25">
      <c r="A30" s="75" t="s">
        <v>97</v>
      </c>
      <c r="B30" s="8" t="s">
        <v>107</v>
      </c>
      <c r="C30" s="3" t="s">
        <v>112</v>
      </c>
      <c r="D30" s="3" t="s">
        <v>209</v>
      </c>
      <c r="E30" s="3">
        <f>1000*0.1</f>
        <v>100</v>
      </c>
      <c r="F30" s="19" t="s">
        <v>200</v>
      </c>
      <c r="G30" s="20" t="s">
        <v>200</v>
      </c>
      <c r="H30" s="21" t="s">
        <v>200</v>
      </c>
      <c r="I30" s="22" t="s">
        <v>200</v>
      </c>
      <c r="J30" s="23" t="s">
        <v>200</v>
      </c>
      <c r="K30" s="24" t="s">
        <v>200</v>
      </c>
      <c r="L30" s="37">
        <f>1000*1.1</f>
        <v>1100</v>
      </c>
    </row>
    <row r="31" spans="1:12" x14ac:dyDescent="0.25">
      <c r="A31" s="76"/>
      <c r="B31" s="8" t="s">
        <v>105</v>
      </c>
      <c r="C31" s="3" t="s">
        <v>26</v>
      </c>
      <c r="D31" s="3" t="s">
        <v>209</v>
      </c>
      <c r="E31" s="3">
        <f>1000*0.1</f>
        <v>100</v>
      </c>
      <c r="F31" s="19" t="s">
        <v>200</v>
      </c>
      <c r="G31" s="20" t="s">
        <v>200</v>
      </c>
      <c r="H31" s="21" t="s">
        <v>200</v>
      </c>
      <c r="I31" s="32">
        <f>1000*0.1</f>
        <v>100</v>
      </c>
      <c r="J31" s="33">
        <f>1000*0.1</f>
        <v>100</v>
      </c>
      <c r="K31" s="23">
        <f>1000*0.2</f>
        <v>200</v>
      </c>
      <c r="L31" s="33">
        <f>1000*3.3</f>
        <v>3300</v>
      </c>
    </row>
    <row r="32" spans="1:12" x14ac:dyDescent="0.25">
      <c r="A32" s="76"/>
      <c r="B32" s="8" t="s">
        <v>106</v>
      </c>
      <c r="C32" s="3" t="s">
        <v>27</v>
      </c>
      <c r="D32" s="3" t="s">
        <v>209</v>
      </c>
      <c r="E32" s="3">
        <f>1000*0.1</f>
        <v>100</v>
      </c>
      <c r="F32" s="19" t="s">
        <v>200</v>
      </c>
      <c r="G32" s="20" t="s">
        <v>200</v>
      </c>
      <c r="H32" s="21" t="s">
        <v>200</v>
      </c>
      <c r="I32" s="22" t="s">
        <v>200</v>
      </c>
      <c r="J32" s="23" t="s">
        <v>200</v>
      </c>
      <c r="K32" s="24" t="s">
        <v>200</v>
      </c>
      <c r="L32" s="24">
        <f>1000*0.9</f>
        <v>900</v>
      </c>
    </row>
    <row r="33" spans="1:12" x14ac:dyDescent="0.25">
      <c r="A33" s="76"/>
      <c r="B33" s="8" t="s">
        <v>102</v>
      </c>
      <c r="C33" s="3" t="s">
        <v>24</v>
      </c>
      <c r="D33" s="3" t="s">
        <v>209</v>
      </c>
      <c r="E33" s="3">
        <f>1000*0.05</f>
        <v>50</v>
      </c>
      <c r="F33" s="19" t="s">
        <v>200</v>
      </c>
      <c r="G33" s="20" t="s">
        <v>200</v>
      </c>
      <c r="H33" s="21" t="s">
        <v>200</v>
      </c>
      <c r="I33" s="22" t="s">
        <v>200</v>
      </c>
      <c r="J33" s="23" t="s">
        <v>200</v>
      </c>
      <c r="K33" s="24" t="s">
        <v>200</v>
      </c>
      <c r="L33" s="24">
        <f>1000*0.12</f>
        <v>120</v>
      </c>
    </row>
    <row r="34" spans="1:12" x14ac:dyDescent="0.25">
      <c r="A34" s="77"/>
      <c r="B34" s="8" t="s">
        <v>103</v>
      </c>
      <c r="C34" s="3" t="s">
        <v>30</v>
      </c>
      <c r="D34" s="3" t="s">
        <v>209</v>
      </c>
      <c r="E34" s="3">
        <f>1000*0.1</f>
        <v>100</v>
      </c>
      <c r="F34" s="25" t="s">
        <v>200</v>
      </c>
      <c r="G34" s="26" t="s">
        <v>200</v>
      </c>
      <c r="H34" s="27" t="s">
        <v>200</v>
      </c>
      <c r="I34" s="28" t="s">
        <v>200</v>
      </c>
      <c r="J34" s="23" t="s">
        <v>200</v>
      </c>
      <c r="K34" s="37">
        <f>1000*26.8</f>
        <v>26800</v>
      </c>
      <c r="L34" s="37">
        <f>1000*54</f>
        <v>54000</v>
      </c>
    </row>
    <row r="35" spans="1:12" x14ac:dyDescent="0.25">
      <c r="A35" s="78" t="s">
        <v>212</v>
      </c>
      <c r="B35" s="8" t="s">
        <v>86</v>
      </c>
      <c r="C35" s="3" t="s">
        <v>8</v>
      </c>
      <c r="D35" s="3" t="s">
        <v>209</v>
      </c>
      <c r="E35" s="3">
        <f>1000*0.01</f>
        <v>10</v>
      </c>
      <c r="F35" s="19" t="s">
        <v>200</v>
      </c>
      <c r="G35" s="20" t="s">
        <v>200</v>
      </c>
      <c r="H35" s="34">
        <f>1000*11</f>
        <v>11000</v>
      </c>
      <c r="I35" s="32">
        <f>1000*500</f>
        <v>500000</v>
      </c>
      <c r="J35" s="33">
        <f>1000*500</f>
        <v>500000</v>
      </c>
      <c r="K35" s="34">
        <f>1000*19.99</f>
        <v>19990</v>
      </c>
      <c r="L35" s="37">
        <f>1000*3.63</f>
        <v>3630</v>
      </c>
    </row>
    <row r="36" spans="1:12" x14ac:dyDescent="0.25">
      <c r="A36" s="79"/>
      <c r="B36" s="8" t="s">
        <v>88</v>
      </c>
      <c r="C36" s="3" t="s">
        <v>19</v>
      </c>
      <c r="D36" s="3" t="s">
        <v>209</v>
      </c>
      <c r="E36" s="3">
        <f>1000*0.01</f>
        <v>10</v>
      </c>
      <c r="F36" s="19" t="s">
        <v>200</v>
      </c>
      <c r="G36" s="20" t="s">
        <v>200</v>
      </c>
      <c r="H36" s="34">
        <f>1000*10</f>
        <v>10000</v>
      </c>
      <c r="I36" s="32">
        <f>1000*200</f>
        <v>200000</v>
      </c>
      <c r="J36" s="33">
        <f>1000*200</f>
        <v>200000</v>
      </c>
      <c r="K36" s="37">
        <f>1000*0.76</f>
        <v>760</v>
      </c>
      <c r="L36" s="37">
        <f>1000*0.51</f>
        <v>510</v>
      </c>
    </row>
    <row r="37" spans="1:12" x14ac:dyDescent="0.25">
      <c r="A37" s="79"/>
      <c r="B37" s="8" t="s">
        <v>87</v>
      </c>
      <c r="C37" s="3" t="s">
        <v>18</v>
      </c>
      <c r="D37" s="3" t="s">
        <v>209</v>
      </c>
      <c r="E37" s="3">
        <f>1000*0.1</f>
        <v>100</v>
      </c>
      <c r="F37" s="19" t="s">
        <v>200</v>
      </c>
      <c r="G37" s="20" t="s">
        <v>200</v>
      </c>
      <c r="H37" s="34">
        <f>1000*30</f>
        <v>30000</v>
      </c>
      <c r="I37" s="32">
        <f>1000*50</f>
        <v>50000</v>
      </c>
      <c r="J37" s="33">
        <f>1000*50</f>
        <v>50000</v>
      </c>
      <c r="K37" s="37">
        <f>1000*11.8</f>
        <v>11800</v>
      </c>
      <c r="L37" s="37">
        <f>1000*22.1</f>
        <v>22100</v>
      </c>
    </row>
    <row r="38" spans="1:12" x14ac:dyDescent="0.25">
      <c r="A38" s="79"/>
      <c r="B38" s="8" t="s">
        <v>90</v>
      </c>
      <c r="C38" s="3" t="s">
        <v>22</v>
      </c>
      <c r="D38" s="3" t="s">
        <v>209</v>
      </c>
      <c r="E38" s="3">
        <f>1000*0.1</f>
        <v>100</v>
      </c>
      <c r="F38" s="19" t="s">
        <v>200</v>
      </c>
      <c r="G38" s="20" t="s">
        <v>200</v>
      </c>
      <c r="H38" s="34">
        <f>1000*30</f>
        <v>30000</v>
      </c>
      <c r="I38" s="32">
        <f>1000*300</f>
        <v>300000</v>
      </c>
      <c r="J38" s="33">
        <f>1000*300</f>
        <v>300000</v>
      </c>
      <c r="K38" s="34">
        <f>1000*141.7</f>
        <v>141700</v>
      </c>
      <c r="L38" s="34">
        <f>1000*261</f>
        <v>261000</v>
      </c>
    </row>
    <row r="39" spans="1:12" x14ac:dyDescent="0.25">
      <c r="A39" s="79"/>
      <c r="B39" s="8" t="s">
        <v>98</v>
      </c>
      <c r="C39" s="3" t="s">
        <v>10</v>
      </c>
      <c r="D39" s="3" t="s">
        <v>209</v>
      </c>
      <c r="E39" s="39">
        <f>1000*2</f>
        <v>2000</v>
      </c>
      <c r="F39" s="35">
        <f>1000*200</f>
        <v>200000</v>
      </c>
      <c r="G39" s="36">
        <f>1000*200</f>
        <v>200000</v>
      </c>
      <c r="H39" s="34">
        <f>1000*200</f>
        <v>200000</v>
      </c>
      <c r="I39" s="32">
        <f>1000*600</f>
        <v>600000</v>
      </c>
      <c r="J39" s="33">
        <f>1000*600</f>
        <v>600000</v>
      </c>
      <c r="K39" s="37">
        <f>1000*51</f>
        <v>51000</v>
      </c>
      <c r="L39" s="37">
        <f>1000*103</f>
        <v>103000</v>
      </c>
    </row>
    <row r="40" spans="1:12" x14ac:dyDescent="0.25">
      <c r="A40" s="80"/>
      <c r="B40" s="8" t="s">
        <v>213</v>
      </c>
      <c r="C40" s="3" t="s">
        <v>15</v>
      </c>
      <c r="D40" s="3" t="s">
        <v>209</v>
      </c>
      <c r="E40" s="3">
        <f>1000*0.1</f>
        <v>100</v>
      </c>
      <c r="F40" s="35">
        <f>1000*0.7</f>
        <v>700</v>
      </c>
      <c r="G40" s="36">
        <f>1000*0.7</f>
        <v>700</v>
      </c>
      <c r="H40" s="34">
        <f>1000*0.7</f>
        <v>700</v>
      </c>
      <c r="I40" s="32">
        <f>1000*10</f>
        <v>10000</v>
      </c>
      <c r="J40" s="33">
        <f>1000*10</f>
        <v>10000</v>
      </c>
      <c r="K40" s="34">
        <f>1000*3.5</f>
        <v>3500</v>
      </c>
      <c r="L40" s="34">
        <f>1000*4.2</f>
        <v>4200</v>
      </c>
    </row>
    <row r="44" spans="1:12" x14ac:dyDescent="0.25">
      <c r="A44" s="11" t="s">
        <v>201</v>
      </c>
      <c r="B44" s="12"/>
      <c r="C44" s="29"/>
      <c r="D44" s="29"/>
      <c r="E44" s="29"/>
      <c r="F44" s="29"/>
      <c r="G44" s="29"/>
      <c r="H44" s="29"/>
      <c r="I44" s="29"/>
      <c r="J44" s="29"/>
      <c r="K44" s="29"/>
      <c r="L44" s="29"/>
    </row>
    <row r="45" spans="1:12" ht="102.6" customHeight="1" x14ac:dyDescent="0.25">
      <c r="A45" s="64" t="s">
        <v>223</v>
      </c>
      <c r="B45" s="64"/>
      <c r="C45" s="64"/>
      <c r="D45" s="64"/>
      <c r="E45" s="64"/>
      <c r="F45" s="64"/>
      <c r="G45" s="64"/>
      <c r="H45" s="64"/>
      <c r="I45" s="64"/>
      <c r="J45" s="64"/>
      <c r="K45" s="64"/>
      <c r="L45" s="64"/>
    </row>
  </sheetData>
  <sortState xmlns:xlrd2="http://schemas.microsoft.com/office/spreadsheetml/2017/richdata2" ref="B30:L34">
    <sortCondition ref="B30:B34"/>
  </sortState>
  <mergeCells count="18">
    <mergeCell ref="A4:A6"/>
    <mergeCell ref="A10:A29"/>
    <mergeCell ref="K2:L2"/>
    <mergeCell ref="K4:K6"/>
    <mergeCell ref="L4:L6"/>
    <mergeCell ref="A45:L45"/>
    <mergeCell ref="K3:L3"/>
    <mergeCell ref="F5:H5"/>
    <mergeCell ref="F4:J4"/>
    <mergeCell ref="I5:I6"/>
    <mergeCell ref="J5:J6"/>
    <mergeCell ref="A7:A9"/>
    <mergeCell ref="A30:A34"/>
    <mergeCell ref="A35:A40"/>
    <mergeCell ref="E4:E6"/>
    <mergeCell ref="D4:D6"/>
    <mergeCell ref="C4:C6"/>
    <mergeCell ref="B4:B6"/>
  </mergeCells>
  <pageMargins left="0.7" right="0.7" top="0.75" bottom="0.75" header="0.3" footer="0.3"/>
  <pageSetup paperSize="9" orientation="portrait" verticalDpi="300" r:id="rId1"/>
  <ignoredErrors>
    <ignoredError sqref="E33 H19:J20 E3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F5082-AD84-4E02-B177-C92F8FD452F2}">
  <dimension ref="A1:AN23"/>
  <sheetViews>
    <sheetView workbookViewId="0">
      <selection activeCell="V1" sqref="V1:V12"/>
    </sheetView>
  </sheetViews>
  <sheetFormatPr defaultRowHeight="15" x14ac:dyDescent="0.25"/>
  <cols>
    <col min="1" max="1" width="20.5703125" customWidth="1"/>
  </cols>
  <sheetData>
    <row r="1" spans="1:40" x14ac:dyDescent="0.25">
      <c r="A1" t="s">
        <v>0</v>
      </c>
      <c r="B1" t="s">
        <v>1</v>
      </c>
      <c r="C1" t="s">
        <v>2</v>
      </c>
      <c r="D1" t="s">
        <v>3</v>
      </c>
      <c r="E1" t="s">
        <v>4</v>
      </c>
      <c r="F1" t="s">
        <v>5</v>
      </c>
      <c r="G1" t="s">
        <v>6</v>
      </c>
      <c r="H1" t="s">
        <v>7</v>
      </c>
      <c r="I1" t="s">
        <v>8</v>
      </c>
      <c r="J1" t="s">
        <v>9</v>
      </c>
      <c r="K1" t="s">
        <v>10</v>
      </c>
      <c r="L1" t="s">
        <v>11</v>
      </c>
      <c r="M1" t="s">
        <v>12</v>
      </c>
      <c r="N1" t="s">
        <v>13</v>
      </c>
      <c r="O1" t="s">
        <v>14</v>
      </c>
      <c r="P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t="s">
        <v>37</v>
      </c>
      <c r="AM1" t="s">
        <v>38</v>
      </c>
      <c r="AN1" t="s">
        <v>39</v>
      </c>
    </row>
    <row r="2" spans="1:40" x14ac:dyDescent="0.25">
      <c r="A2" t="s">
        <v>40</v>
      </c>
      <c r="B2" t="s">
        <v>41</v>
      </c>
      <c r="C2" t="s">
        <v>42</v>
      </c>
      <c r="D2" t="s">
        <v>41</v>
      </c>
      <c r="E2" t="s">
        <v>42</v>
      </c>
      <c r="F2" t="s">
        <v>41</v>
      </c>
      <c r="G2" t="s">
        <v>41</v>
      </c>
      <c r="H2" t="s">
        <v>41</v>
      </c>
      <c r="I2" t="s">
        <v>42</v>
      </c>
      <c r="J2" t="s">
        <v>41</v>
      </c>
      <c r="K2" t="s">
        <v>42</v>
      </c>
      <c r="L2" t="s">
        <v>41</v>
      </c>
      <c r="M2" t="s">
        <v>42</v>
      </c>
      <c r="N2" t="s">
        <v>42</v>
      </c>
      <c r="O2" t="s">
        <v>43</v>
      </c>
      <c r="P2" t="s">
        <v>42</v>
      </c>
      <c r="Q2" s="1" t="s">
        <v>42</v>
      </c>
      <c r="R2" s="1" t="s">
        <v>41</v>
      </c>
      <c r="S2" s="1" t="s">
        <v>42</v>
      </c>
      <c r="T2" s="1" t="s">
        <v>42</v>
      </c>
      <c r="U2" s="1" t="s">
        <v>42</v>
      </c>
      <c r="V2" s="1" t="s">
        <v>41</v>
      </c>
      <c r="W2" s="1" t="s">
        <v>42</v>
      </c>
      <c r="X2" s="1" t="s">
        <v>42</v>
      </c>
      <c r="Y2" s="1" t="s">
        <v>42</v>
      </c>
      <c r="Z2" s="1" t="s">
        <v>41</v>
      </c>
      <c r="AA2" s="1" t="s">
        <v>42</v>
      </c>
      <c r="AB2" s="1" t="s">
        <v>42</v>
      </c>
      <c r="AC2" s="1" t="s">
        <v>42</v>
      </c>
      <c r="AD2" s="1" t="s">
        <v>44</v>
      </c>
      <c r="AE2" s="1" t="s">
        <v>42</v>
      </c>
      <c r="AF2" s="1" t="s">
        <v>41</v>
      </c>
      <c r="AG2" s="1" t="s">
        <v>41</v>
      </c>
      <c r="AH2" s="1" t="s">
        <v>41</v>
      </c>
      <c r="AI2" s="1" t="s">
        <v>41</v>
      </c>
      <c r="AJ2" s="1" t="s">
        <v>45</v>
      </c>
      <c r="AK2" s="1" t="s">
        <v>41</v>
      </c>
      <c r="AL2" t="s">
        <v>41</v>
      </c>
      <c r="AM2" t="s">
        <v>41</v>
      </c>
      <c r="AN2" t="s">
        <v>42</v>
      </c>
    </row>
    <row r="3" spans="1:40" x14ac:dyDescent="0.25">
      <c r="A3" t="s">
        <v>46</v>
      </c>
      <c r="B3">
        <v>0.01</v>
      </c>
      <c r="C3">
        <v>0.01</v>
      </c>
      <c r="D3">
        <v>0.1</v>
      </c>
      <c r="E3">
        <v>0.01</v>
      </c>
      <c r="F3">
        <v>0.05</v>
      </c>
      <c r="G3">
        <v>0.1</v>
      </c>
      <c r="H3">
        <v>5.0000000000000001E-3</v>
      </c>
      <c r="I3">
        <v>0.01</v>
      </c>
      <c r="J3">
        <v>0.02</v>
      </c>
      <c r="K3">
        <v>2</v>
      </c>
      <c r="L3">
        <v>0.1</v>
      </c>
      <c r="M3">
        <v>0.01</v>
      </c>
      <c r="N3">
        <v>0.01</v>
      </c>
      <c r="O3">
        <v>0.01</v>
      </c>
      <c r="P3">
        <v>0.1</v>
      </c>
      <c r="Q3" s="1">
        <v>0.01</v>
      </c>
      <c r="R3" s="1">
        <v>0.1</v>
      </c>
      <c r="S3" s="1">
        <v>0.1</v>
      </c>
      <c r="T3" s="1">
        <v>0.01</v>
      </c>
      <c r="U3" s="1">
        <v>1E-3</v>
      </c>
      <c r="V3" s="1">
        <v>0.05</v>
      </c>
      <c r="W3" s="1">
        <v>0.1</v>
      </c>
      <c r="X3" s="1">
        <v>0.01</v>
      </c>
      <c r="Y3" s="1">
        <v>0.05</v>
      </c>
      <c r="Z3" s="1">
        <v>0.5</v>
      </c>
      <c r="AA3" s="1">
        <v>0.1</v>
      </c>
      <c r="AB3" s="1">
        <v>0.1</v>
      </c>
      <c r="AC3" s="1">
        <v>0.1</v>
      </c>
      <c r="AD3" s="1">
        <v>0.1</v>
      </c>
      <c r="AE3" s="1">
        <v>0.1</v>
      </c>
      <c r="AF3" s="1">
        <v>0.01</v>
      </c>
      <c r="AG3" s="1">
        <v>0.5</v>
      </c>
      <c r="AH3" s="1">
        <v>0.1</v>
      </c>
      <c r="AI3" s="1">
        <v>0.02</v>
      </c>
      <c r="AJ3" s="1">
        <v>20</v>
      </c>
      <c r="AK3" s="1">
        <v>5.0000000000000001E-3</v>
      </c>
      <c r="AL3">
        <v>5.0000000000000001E-3</v>
      </c>
      <c r="AM3">
        <v>10</v>
      </c>
      <c r="AN3">
        <v>0.01</v>
      </c>
    </row>
    <row r="4" spans="1:40" x14ac:dyDescent="0.25">
      <c r="A4" t="s">
        <v>47</v>
      </c>
      <c r="B4" t="s">
        <v>48</v>
      </c>
      <c r="C4" t="s">
        <v>49</v>
      </c>
      <c r="D4" t="s">
        <v>48</v>
      </c>
      <c r="E4" t="s">
        <v>49</v>
      </c>
      <c r="F4" t="s">
        <v>48</v>
      </c>
      <c r="G4" t="s">
        <v>48</v>
      </c>
      <c r="H4" t="s">
        <v>48</v>
      </c>
      <c r="I4" t="s">
        <v>49</v>
      </c>
      <c r="J4" t="s">
        <v>48</v>
      </c>
      <c r="K4" t="s">
        <v>50</v>
      </c>
      <c r="L4" t="s">
        <v>48</v>
      </c>
      <c r="M4" t="s">
        <v>49</v>
      </c>
      <c r="N4" t="s">
        <v>49</v>
      </c>
      <c r="O4" t="s">
        <v>51</v>
      </c>
      <c r="P4" t="s">
        <v>52</v>
      </c>
      <c r="Q4" s="1" t="s">
        <v>49</v>
      </c>
      <c r="R4" s="1" t="s">
        <v>48</v>
      </c>
      <c r="S4" s="1" t="s">
        <v>49</v>
      </c>
      <c r="T4" s="1" t="s">
        <v>49</v>
      </c>
      <c r="U4" s="1" t="s">
        <v>49</v>
      </c>
      <c r="V4" s="1" t="s">
        <v>48</v>
      </c>
      <c r="W4" s="1" t="s">
        <v>49</v>
      </c>
      <c r="X4" s="1" t="s">
        <v>49</v>
      </c>
      <c r="Y4" s="1" t="s">
        <v>49</v>
      </c>
      <c r="Z4" s="1" t="s">
        <v>48</v>
      </c>
      <c r="AA4" s="1" t="s">
        <v>50</v>
      </c>
      <c r="AB4" s="1" t="s">
        <v>50</v>
      </c>
      <c r="AC4" s="1" t="s">
        <v>50</v>
      </c>
      <c r="AD4" s="1" t="s">
        <v>51</v>
      </c>
      <c r="AE4" s="1" t="s">
        <v>49</v>
      </c>
      <c r="AF4" s="1" t="s">
        <v>48</v>
      </c>
      <c r="AG4" s="1" t="s">
        <v>48</v>
      </c>
      <c r="AH4" s="1" t="s">
        <v>48</v>
      </c>
      <c r="AI4" s="1" t="s">
        <v>48</v>
      </c>
      <c r="AJ4" s="1" t="s">
        <v>53</v>
      </c>
      <c r="AK4" s="1" t="s">
        <v>48</v>
      </c>
      <c r="AL4" t="s">
        <v>48</v>
      </c>
      <c r="AM4" t="s">
        <v>48</v>
      </c>
      <c r="AN4" t="s">
        <v>49</v>
      </c>
    </row>
    <row r="5" spans="1:40" x14ac:dyDescent="0.25">
      <c r="A5" t="s">
        <v>54</v>
      </c>
      <c r="Q5" s="1"/>
      <c r="R5" s="1"/>
      <c r="S5" s="1"/>
      <c r="T5" s="1"/>
      <c r="U5" s="1"/>
      <c r="V5" s="1"/>
      <c r="W5" s="1"/>
      <c r="X5" s="1"/>
      <c r="Y5" s="1"/>
      <c r="Z5" s="1"/>
      <c r="AA5" s="1"/>
      <c r="AB5" s="1"/>
      <c r="AC5" s="1"/>
      <c r="AD5" s="1"/>
      <c r="AE5" s="1"/>
      <c r="AF5" s="1"/>
      <c r="AG5" s="1"/>
      <c r="AH5" s="1"/>
      <c r="AI5" s="1"/>
      <c r="AJ5" s="1"/>
      <c r="AK5" s="1"/>
    </row>
    <row r="6" spans="1:40" x14ac:dyDescent="0.25">
      <c r="Q6" s="1"/>
      <c r="R6" s="1"/>
      <c r="S6" s="1"/>
      <c r="T6" s="1"/>
      <c r="U6" s="1"/>
      <c r="V6" s="1"/>
      <c r="W6" s="1"/>
      <c r="X6" s="1"/>
      <c r="Y6" s="1"/>
      <c r="Z6" s="1"/>
      <c r="AA6" s="1"/>
      <c r="AB6" s="1"/>
      <c r="AC6" s="1"/>
      <c r="AD6" s="1"/>
      <c r="AE6" s="1"/>
      <c r="AF6" s="1"/>
      <c r="AG6" s="1"/>
      <c r="AH6" s="1"/>
      <c r="AI6" s="1"/>
      <c r="AJ6" s="1"/>
      <c r="AK6" s="1"/>
    </row>
    <row r="7" spans="1:40" x14ac:dyDescent="0.25">
      <c r="A7" t="s">
        <v>55</v>
      </c>
      <c r="Q7" s="1"/>
      <c r="R7" s="1"/>
      <c r="S7" s="1"/>
      <c r="T7" s="1"/>
      <c r="U7" s="1"/>
      <c r="V7" s="1"/>
      <c r="W7" s="1"/>
      <c r="X7" s="1"/>
      <c r="Y7" s="1"/>
      <c r="Z7" s="1"/>
      <c r="AA7" s="1"/>
      <c r="AB7" s="1"/>
      <c r="AC7" s="1"/>
      <c r="AD7" s="1"/>
      <c r="AE7" s="1"/>
      <c r="AF7" s="1"/>
      <c r="AG7" s="1"/>
      <c r="AH7" s="1"/>
      <c r="AI7" s="1"/>
      <c r="AJ7" s="1"/>
      <c r="AK7" s="1"/>
    </row>
    <row r="8" spans="1:40" s="1" customFormat="1" x14ac:dyDescent="0.25">
      <c r="A8" s="1" t="s">
        <v>56</v>
      </c>
      <c r="B8" s="1">
        <v>0.12</v>
      </c>
      <c r="C8" s="1">
        <v>0.02</v>
      </c>
      <c r="D8" s="1">
        <v>6.9</v>
      </c>
      <c r="E8" s="1">
        <v>0.15</v>
      </c>
      <c r="F8" s="1">
        <v>36.15</v>
      </c>
      <c r="G8" s="1" t="s">
        <v>57</v>
      </c>
      <c r="H8" s="1" t="s">
        <v>57</v>
      </c>
      <c r="I8" s="1">
        <v>19.989999999999998</v>
      </c>
      <c r="J8" s="1">
        <v>0.1</v>
      </c>
      <c r="K8" s="1">
        <v>51</v>
      </c>
      <c r="L8" s="1">
        <v>167</v>
      </c>
      <c r="M8" s="1" t="s">
        <v>57</v>
      </c>
      <c r="N8" s="1">
        <v>0.04</v>
      </c>
      <c r="O8" s="1">
        <v>0.82</v>
      </c>
      <c r="P8" s="1">
        <v>3.5</v>
      </c>
      <c r="Q8" s="1">
        <v>7.0000000000000007E-2</v>
      </c>
      <c r="R8" s="1" t="s">
        <v>57</v>
      </c>
      <c r="S8" s="1">
        <v>11.8</v>
      </c>
      <c r="T8" s="1">
        <v>0.76</v>
      </c>
      <c r="U8" s="1">
        <v>2.7E-2</v>
      </c>
      <c r="V8" s="1">
        <v>1457.63</v>
      </c>
      <c r="W8" s="1">
        <v>141.69999999999999</v>
      </c>
      <c r="X8" s="1">
        <v>0.02</v>
      </c>
      <c r="Y8" s="1" t="s">
        <v>57</v>
      </c>
      <c r="Z8" s="1" t="s">
        <v>57</v>
      </c>
      <c r="AA8" s="1">
        <v>0.2</v>
      </c>
      <c r="AB8" s="1" t="s">
        <v>57</v>
      </c>
      <c r="AC8" s="1" t="s">
        <v>57</v>
      </c>
      <c r="AD8" s="1">
        <v>7.8</v>
      </c>
      <c r="AE8" s="1">
        <v>26.8</v>
      </c>
      <c r="AF8" s="1">
        <v>5.63</v>
      </c>
      <c r="AG8" s="1">
        <v>6.2</v>
      </c>
      <c r="AH8" s="1">
        <v>0.2</v>
      </c>
      <c r="AI8" s="1">
        <v>264.43</v>
      </c>
      <c r="AJ8" s="1">
        <v>525</v>
      </c>
      <c r="AK8" s="1" t="s">
        <v>57</v>
      </c>
      <c r="AL8" s="1">
        <v>1.385</v>
      </c>
      <c r="AM8" s="1">
        <v>85</v>
      </c>
      <c r="AN8" s="1" t="s">
        <v>57</v>
      </c>
    </row>
    <row r="9" spans="1:40" x14ac:dyDescent="0.25">
      <c r="A9" t="s">
        <v>58</v>
      </c>
      <c r="B9">
        <v>42.92</v>
      </c>
      <c r="C9">
        <v>0.22</v>
      </c>
      <c r="D9">
        <v>10.8</v>
      </c>
      <c r="E9">
        <v>0.19</v>
      </c>
      <c r="F9">
        <v>10.53</v>
      </c>
      <c r="G9" t="s">
        <v>57</v>
      </c>
      <c r="H9" t="s">
        <v>57</v>
      </c>
      <c r="I9">
        <v>3.63</v>
      </c>
      <c r="J9">
        <v>0.28999999999999998</v>
      </c>
      <c r="K9">
        <v>103</v>
      </c>
      <c r="L9">
        <v>326.2</v>
      </c>
      <c r="M9" t="s">
        <v>57</v>
      </c>
      <c r="N9">
        <v>2.15</v>
      </c>
      <c r="O9">
        <v>1.33</v>
      </c>
      <c r="P9">
        <v>4.2</v>
      </c>
      <c r="Q9" s="1">
        <v>1.64</v>
      </c>
      <c r="R9" s="1" t="s">
        <v>57</v>
      </c>
      <c r="S9" s="1">
        <v>22.1</v>
      </c>
      <c r="T9" s="1">
        <v>0.51</v>
      </c>
      <c r="U9" s="1">
        <v>1E-3</v>
      </c>
      <c r="V9" s="1">
        <v>2685.61</v>
      </c>
      <c r="W9" s="1">
        <v>261</v>
      </c>
      <c r="X9" s="1">
        <v>0.17</v>
      </c>
      <c r="Y9" s="1">
        <v>0.12</v>
      </c>
      <c r="Z9" s="1">
        <v>0.7</v>
      </c>
      <c r="AA9" s="1">
        <v>3.3</v>
      </c>
      <c r="AB9" s="1">
        <v>0.9</v>
      </c>
      <c r="AC9" s="1">
        <v>1.1000000000000001</v>
      </c>
      <c r="AD9" s="1">
        <v>9.6999999999999993</v>
      </c>
      <c r="AE9" s="1">
        <v>54</v>
      </c>
      <c r="AF9" s="1">
        <v>14.65</v>
      </c>
      <c r="AG9" s="1">
        <v>35.6</v>
      </c>
      <c r="AH9" s="1" t="s">
        <v>57</v>
      </c>
      <c r="AI9" s="1">
        <v>236.11</v>
      </c>
      <c r="AJ9" s="1">
        <v>861</v>
      </c>
      <c r="AK9" s="1" t="s">
        <v>57</v>
      </c>
      <c r="AL9">
        <v>6.9000000000000006E-2</v>
      </c>
      <c r="AM9">
        <v>216</v>
      </c>
      <c r="AN9">
        <v>0.08</v>
      </c>
    </row>
    <row r="10" spans="1:40" x14ac:dyDescent="0.25">
      <c r="Q10" s="1"/>
      <c r="R10" s="1"/>
      <c r="S10" s="1"/>
      <c r="T10" s="1"/>
      <c r="U10" s="1"/>
      <c r="V10" s="1"/>
      <c r="W10" s="1"/>
      <c r="X10" s="1"/>
      <c r="Y10" s="1"/>
      <c r="Z10" s="1"/>
      <c r="AA10" s="1"/>
      <c r="AB10" s="1"/>
      <c r="AC10" s="1"/>
      <c r="AD10" s="1"/>
      <c r="AE10" s="1"/>
      <c r="AF10" s="1"/>
      <c r="AG10" s="1"/>
      <c r="AH10" s="1"/>
      <c r="AI10" s="1"/>
      <c r="AJ10" s="1"/>
      <c r="AK10" s="1"/>
    </row>
    <row r="11" spans="1:40" x14ac:dyDescent="0.25">
      <c r="A11" t="s">
        <v>59</v>
      </c>
      <c r="Q11" s="1"/>
      <c r="R11" s="1"/>
      <c r="S11" s="1"/>
      <c r="T11" s="1"/>
      <c r="U11" s="1"/>
      <c r="V11" s="1"/>
      <c r="W11" s="1"/>
      <c r="X11" s="1"/>
      <c r="Y11" s="1"/>
      <c r="Z11" s="1"/>
      <c r="AA11" s="1"/>
      <c r="AB11" s="1"/>
      <c r="AC11" s="1"/>
      <c r="AD11" s="1"/>
      <c r="AE11" s="1"/>
      <c r="AF11" s="1"/>
      <c r="AG11" s="1"/>
      <c r="AH11" s="1"/>
      <c r="AI11" s="1"/>
      <c r="AJ11" s="1"/>
      <c r="AK11" s="1"/>
    </row>
    <row r="12" spans="1:40" x14ac:dyDescent="0.25">
      <c r="A12" t="s">
        <v>58</v>
      </c>
      <c r="B12">
        <v>42.89</v>
      </c>
      <c r="C12">
        <v>0.2</v>
      </c>
      <c r="D12">
        <v>10.9</v>
      </c>
      <c r="E12">
        <v>0.18</v>
      </c>
      <c r="F12">
        <v>10.38</v>
      </c>
      <c r="G12" t="s">
        <v>57</v>
      </c>
      <c r="H12" t="s">
        <v>57</v>
      </c>
      <c r="I12">
        <v>3.54</v>
      </c>
      <c r="J12">
        <v>0.28999999999999998</v>
      </c>
      <c r="K12">
        <v>103</v>
      </c>
      <c r="L12">
        <v>332.4</v>
      </c>
      <c r="M12" t="s">
        <v>57</v>
      </c>
      <c r="N12">
        <v>1.98</v>
      </c>
      <c r="O12">
        <v>1.33</v>
      </c>
      <c r="P12">
        <v>4.2</v>
      </c>
      <c r="Q12" s="1">
        <v>1.58</v>
      </c>
      <c r="R12" s="1" t="s">
        <v>57</v>
      </c>
      <c r="S12" s="1">
        <v>21.5</v>
      </c>
      <c r="T12" s="1">
        <v>0.49</v>
      </c>
      <c r="U12" s="1" t="s">
        <v>57</v>
      </c>
      <c r="V12" s="1">
        <v>2646.87</v>
      </c>
      <c r="W12" s="1">
        <v>255.2</v>
      </c>
      <c r="X12" s="1">
        <v>0.16</v>
      </c>
      <c r="Y12" s="1">
        <v>0.12</v>
      </c>
      <c r="Z12" s="1">
        <v>0.9</v>
      </c>
      <c r="AA12" s="1">
        <v>3.3</v>
      </c>
      <c r="AB12" s="1">
        <v>0.6</v>
      </c>
      <c r="AC12" s="1">
        <v>1.1000000000000001</v>
      </c>
      <c r="AD12" s="1">
        <v>9.6999999999999993</v>
      </c>
      <c r="AE12" s="1">
        <v>52.4</v>
      </c>
      <c r="AF12" s="1">
        <v>14.71</v>
      </c>
      <c r="AG12" s="1">
        <v>33.9</v>
      </c>
      <c r="AH12" s="1" t="s">
        <v>57</v>
      </c>
      <c r="AI12" s="1">
        <v>237.86</v>
      </c>
      <c r="AJ12" s="1">
        <v>860</v>
      </c>
      <c r="AK12" s="1" t="s">
        <v>57</v>
      </c>
      <c r="AL12">
        <v>6.7000000000000004E-2</v>
      </c>
      <c r="AM12">
        <v>218</v>
      </c>
      <c r="AN12">
        <v>7.0000000000000007E-2</v>
      </c>
    </row>
    <row r="13" spans="1:40" x14ac:dyDescent="0.25">
      <c r="Q13" s="1"/>
      <c r="R13" s="1"/>
      <c r="S13" s="1"/>
      <c r="T13" s="1"/>
      <c r="U13" s="1"/>
      <c r="V13" s="1"/>
      <c r="W13" s="1"/>
      <c r="X13" s="1"/>
      <c r="Y13" s="1"/>
      <c r="Z13" s="1"/>
      <c r="AA13" s="1"/>
      <c r="AB13" s="1"/>
      <c r="AC13" s="1"/>
      <c r="AD13" s="1"/>
      <c r="AE13" s="1"/>
      <c r="AF13" s="1"/>
      <c r="AG13" s="1"/>
      <c r="AH13" s="1"/>
      <c r="AI13" s="1"/>
      <c r="AJ13" s="1"/>
      <c r="AK13" s="1"/>
    </row>
    <row r="14" spans="1:40" x14ac:dyDescent="0.25">
      <c r="A14" t="s">
        <v>60</v>
      </c>
      <c r="Q14" s="1"/>
      <c r="R14" s="1"/>
      <c r="S14" s="1"/>
      <c r="T14" s="1"/>
      <c r="U14" s="1"/>
      <c r="V14" s="1"/>
      <c r="W14" s="1"/>
      <c r="X14" s="1"/>
      <c r="Y14" s="1"/>
      <c r="Z14" s="1"/>
      <c r="AA14" s="1"/>
      <c r="AB14" s="1"/>
      <c r="AC14" s="1"/>
      <c r="AD14" s="1"/>
      <c r="AE14" s="1"/>
      <c r="AF14" s="1"/>
      <c r="AG14" s="1"/>
      <c r="AH14" s="1"/>
      <c r="AI14" s="1"/>
      <c r="AJ14" s="1"/>
      <c r="AK14" s="1"/>
    </row>
    <row r="15" spans="1:40" x14ac:dyDescent="0.25">
      <c r="A15" t="s">
        <v>61</v>
      </c>
      <c r="K15">
        <v>34</v>
      </c>
      <c r="Q15" s="1"/>
      <c r="R15" s="1"/>
      <c r="S15" s="1"/>
      <c r="T15" s="1"/>
      <c r="U15" s="1"/>
      <c r="V15" s="1"/>
      <c r="W15" s="1"/>
      <c r="X15" s="1"/>
      <c r="Y15" s="1"/>
      <c r="Z15" s="1"/>
      <c r="AA15" s="1" t="s">
        <v>57</v>
      </c>
      <c r="AB15" s="1" t="s">
        <v>57</v>
      </c>
      <c r="AC15" s="1" t="s">
        <v>57</v>
      </c>
      <c r="AD15" s="1"/>
      <c r="AE15" s="1"/>
      <c r="AF15" s="1"/>
      <c r="AG15" s="1"/>
      <c r="AH15" s="1"/>
      <c r="AI15" s="1"/>
      <c r="AJ15" s="1"/>
      <c r="AK15" s="1"/>
    </row>
    <row r="16" spans="1:40" x14ac:dyDescent="0.25">
      <c r="A16" t="s">
        <v>62</v>
      </c>
      <c r="P16">
        <v>0.6</v>
      </c>
      <c r="Q16" s="1"/>
      <c r="R16" s="1"/>
      <c r="S16" s="1"/>
      <c r="T16" s="1"/>
      <c r="U16" s="1"/>
      <c r="V16" s="1"/>
      <c r="W16" s="1"/>
      <c r="X16" s="1"/>
      <c r="Y16" s="1"/>
      <c r="Z16" s="1"/>
      <c r="AA16" s="1"/>
      <c r="AB16" s="1"/>
      <c r="AC16" s="1"/>
      <c r="AD16" s="1"/>
      <c r="AE16" s="1"/>
      <c r="AF16" s="1"/>
      <c r="AG16" s="1"/>
      <c r="AH16" s="1"/>
      <c r="AI16" s="1"/>
      <c r="AJ16" s="1"/>
      <c r="AK16" s="1"/>
    </row>
    <row r="17" spans="1:40" x14ac:dyDescent="0.25">
      <c r="A17" t="s">
        <v>62</v>
      </c>
      <c r="O17">
        <v>0.33</v>
      </c>
      <c r="Q17" s="1"/>
      <c r="R17" s="1"/>
      <c r="S17" s="1"/>
      <c r="T17" s="1"/>
      <c r="U17" s="1"/>
      <c r="V17" s="1"/>
      <c r="W17" s="1"/>
      <c r="X17" s="1"/>
      <c r="Y17" s="1"/>
      <c r="Z17" s="1"/>
      <c r="AA17" s="1"/>
      <c r="AB17" s="1"/>
      <c r="AC17" s="1"/>
      <c r="AD17" s="1">
        <v>9</v>
      </c>
      <c r="AE17" s="1"/>
      <c r="AF17" s="1"/>
      <c r="AG17" s="1"/>
      <c r="AH17" s="1"/>
      <c r="AI17" s="1"/>
      <c r="AJ17" s="1"/>
      <c r="AK17" s="1"/>
    </row>
    <row r="18" spans="1:40" x14ac:dyDescent="0.25">
      <c r="A18" t="s">
        <v>63</v>
      </c>
      <c r="Q18" s="1"/>
      <c r="R18" s="1"/>
      <c r="S18" s="1"/>
      <c r="T18" s="1"/>
      <c r="U18" s="1"/>
      <c r="V18" s="1"/>
      <c r="W18" s="1"/>
      <c r="X18" s="1"/>
      <c r="Y18" s="1"/>
      <c r="Z18" s="1"/>
      <c r="AA18" s="1"/>
      <c r="AB18" s="1"/>
      <c r="AC18" s="1"/>
      <c r="AD18" s="1"/>
      <c r="AE18" s="1"/>
      <c r="AF18" s="1"/>
      <c r="AG18" s="1"/>
      <c r="AH18" s="1"/>
      <c r="AI18" s="1"/>
      <c r="AJ18" s="1">
        <v>552</v>
      </c>
      <c r="AK18" s="1"/>
    </row>
    <row r="19" spans="1:40" x14ac:dyDescent="0.25">
      <c r="A19" t="s">
        <v>64</v>
      </c>
      <c r="B19">
        <v>2.1</v>
      </c>
      <c r="D19">
        <v>81</v>
      </c>
      <c r="F19">
        <v>51.03</v>
      </c>
      <c r="G19">
        <v>18.7</v>
      </c>
      <c r="H19">
        <v>9.6929999999999996</v>
      </c>
      <c r="J19">
        <v>10.01</v>
      </c>
      <c r="L19">
        <v>26</v>
      </c>
      <c r="Q19" s="1"/>
      <c r="R19" s="1" t="s">
        <v>57</v>
      </c>
      <c r="S19" s="1"/>
      <c r="T19" s="1"/>
      <c r="U19" s="1"/>
      <c r="V19" s="1">
        <v>103.61</v>
      </c>
      <c r="W19" s="1"/>
      <c r="X19" s="1"/>
      <c r="Y19" s="1"/>
      <c r="Z19" s="1">
        <v>38.700000000000003</v>
      </c>
      <c r="AA19" s="1"/>
      <c r="AB19" s="1"/>
      <c r="AC19" s="1"/>
      <c r="AD19" s="1"/>
      <c r="AE19" s="1"/>
      <c r="AF19" s="1">
        <v>10.1</v>
      </c>
      <c r="AG19" s="1">
        <v>10.9</v>
      </c>
      <c r="AH19" s="1" t="s">
        <v>57</v>
      </c>
      <c r="AI19" s="1">
        <v>248.29</v>
      </c>
      <c r="AJ19" s="1"/>
      <c r="AK19" s="1" t="s">
        <v>57</v>
      </c>
      <c r="AL19">
        <v>9.7479999999999993</v>
      </c>
      <c r="AM19">
        <v>32</v>
      </c>
    </row>
    <row r="20" spans="1:40" x14ac:dyDescent="0.25">
      <c r="Q20" s="1"/>
      <c r="R20" s="1"/>
      <c r="S20" s="1"/>
      <c r="T20" s="1"/>
      <c r="U20" s="1"/>
      <c r="V20" s="1"/>
      <c r="W20" s="1"/>
      <c r="X20" s="1"/>
      <c r="Y20" s="1"/>
      <c r="Z20" s="1"/>
      <c r="AA20" s="1"/>
      <c r="AB20" s="1"/>
      <c r="AC20" s="1"/>
      <c r="AD20" s="1"/>
      <c r="AE20" s="1"/>
      <c r="AF20" s="1"/>
      <c r="AG20" s="1"/>
      <c r="AH20" s="1"/>
      <c r="AI20" s="1"/>
      <c r="AJ20" s="1"/>
      <c r="AK20" s="1"/>
    </row>
    <row r="21" spans="1:40" x14ac:dyDescent="0.25">
      <c r="A21" t="s">
        <v>65</v>
      </c>
      <c r="Q21" s="1"/>
      <c r="R21" s="1"/>
      <c r="S21" s="1"/>
      <c r="T21" s="1"/>
      <c r="U21" s="1"/>
      <c r="V21" s="1"/>
      <c r="W21" s="1"/>
      <c r="X21" s="1"/>
      <c r="Y21" s="1"/>
      <c r="Z21" s="1"/>
      <c r="AA21" s="1"/>
      <c r="AB21" s="1"/>
      <c r="AC21" s="1"/>
      <c r="AD21" s="1"/>
      <c r="AE21" s="1"/>
      <c r="AF21" s="1"/>
      <c r="AG21" s="1"/>
      <c r="AH21" s="1"/>
      <c r="AI21" s="1"/>
      <c r="AJ21" s="1"/>
      <c r="AK21" s="1"/>
    </row>
    <row r="22" spans="1:40" x14ac:dyDescent="0.25">
      <c r="A22" t="s">
        <v>66</v>
      </c>
      <c r="B22" t="s">
        <v>57</v>
      </c>
      <c r="C22" t="s">
        <v>57</v>
      </c>
      <c r="D22" t="s">
        <v>57</v>
      </c>
      <c r="E22" t="s">
        <v>57</v>
      </c>
      <c r="F22" t="s">
        <v>57</v>
      </c>
      <c r="G22" t="s">
        <v>57</v>
      </c>
      <c r="H22" t="s">
        <v>57</v>
      </c>
      <c r="I22" t="s">
        <v>57</v>
      </c>
      <c r="J22" t="s">
        <v>57</v>
      </c>
      <c r="K22" t="s">
        <v>57</v>
      </c>
      <c r="L22" t="s">
        <v>57</v>
      </c>
      <c r="M22" t="s">
        <v>57</v>
      </c>
      <c r="N22" t="s">
        <v>57</v>
      </c>
      <c r="O22" t="s">
        <v>57</v>
      </c>
      <c r="P22" t="s">
        <v>57</v>
      </c>
      <c r="Q22" s="1">
        <v>0.02</v>
      </c>
      <c r="R22" s="1" t="s">
        <v>57</v>
      </c>
      <c r="S22" s="1" t="s">
        <v>57</v>
      </c>
      <c r="T22" s="1" t="s">
        <v>57</v>
      </c>
      <c r="U22" s="1" t="s">
        <v>57</v>
      </c>
      <c r="V22" s="1" t="s">
        <v>57</v>
      </c>
      <c r="W22" s="1">
        <v>0.2</v>
      </c>
      <c r="X22" s="1" t="s">
        <v>57</v>
      </c>
      <c r="Y22" s="1" t="s">
        <v>57</v>
      </c>
      <c r="Z22" s="1" t="s">
        <v>57</v>
      </c>
      <c r="AA22" s="1" t="s">
        <v>57</v>
      </c>
      <c r="AB22" s="1" t="s">
        <v>57</v>
      </c>
      <c r="AC22" s="1" t="s">
        <v>57</v>
      </c>
      <c r="AD22" s="1">
        <v>5.5</v>
      </c>
      <c r="AE22" s="1" t="s">
        <v>57</v>
      </c>
      <c r="AF22" s="1">
        <v>0.02</v>
      </c>
      <c r="AG22" s="1" t="s">
        <v>57</v>
      </c>
      <c r="AH22" s="1" t="s">
        <v>57</v>
      </c>
      <c r="AI22" s="1" t="s">
        <v>57</v>
      </c>
      <c r="AJ22" s="1" t="s">
        <v>57</v>
      </c>
      <c r="AK22" s="1" t="s">
        <v>57</v>
      </c>
      <c r="AL22" t="s">
        <v>57</v>
      </c>
      <c r="AM22" t="s">
        <v>57</v>
      </c>
      <c r="AN22" t="s">
        <v>57</v>
      </c>
    </row>
    <row r="23" spans="1:40" x14ac:dyDescent="0.25">
      <c r="Q23" s="1"/>
      <c r="R23" s="1"/>
      <c r="S23" s="1"/>
      <c r="T23" s="1"/>
      <c r="U23" s="1"/>
      <c r="V23" s="1"/>
      <c r="W23" s="1"/>
      <c r="X23" s="1"/>
      <c r="Y23" s="1"/>
      <c r="Z23" s="1"/>
      <c r="AA23" s="1"/>
      <c r="AB23" s="1"/>
      <c r="AC23" s="1"/>
      <c r="AD23" s="1"/>
      <c r="AE23" s="1"/>
      <c r="AF23" s="1"/>
      <c r="AG23" s="1"/>
      <c r="AH23" s="1"/>
      <c r="AI23" s="1"/>
      <c r="AJ23" s="1"/>
      <c r="AK2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D4C2F-BE00-40A1-86BD-3FEA8AAA9EFC}">
  <dimension ref="A2:L59"/>
  <sheetViews>
    <sheetView topLeftCell="A34" workbookViewId="0">
      <selection activeCell="L17" sqref="L17"/>
    </sheetView>
  </sheetViews>
  <sheetFormatPr defaultRowHeight="15" x14ac:dyDescent="0.25"/>
  <cols>
    <col min="1" max="1" width="17.5703125" style="57" customWidth="1"/>
    <col min="2" max="2" width="27" style="10" bestFit="1" customWidth="1"/>
    <col min="3" max="3" width="13.5703125" style="30" bestFit="1" customWidth="1"/>
    <col min="4" max="4" width="10.140625" style="30" bestFit="1" customWidth="1"/>
    <col min="5" max="5" width="9.140625" style="30"/>
    <col min="6" max="6" width="19.85546875" style="30" bestFit="1" customWidth="1"/>
    <col min="7" max="7" width="17.85546875" style="30" bestFit="1" customWidth="1"/>
    <col min="8" max="9" width="13.42578125" style="30" customWidth="1"/>
    <col min="10" max="16384" width="9.140625" style="10"/>
  </cols>
  <sheetData>
    <row r="2" spans="1:12" s="5" customFormat="1" x14ac:dyDescent="0.25">
      <c r="A2" s="40"/>
      <c r="C2" s="13"/>
      <c r="D2" s="13"/>
      <c r="E2" s="13"/>
      <c r="F2" s="13"/>
      <c r="G2" s="41" t="s">
        <v>113</v>
      </c>
      <c r="H2" s="83" t="s">
        <v>115</v>
      </c>
      <c r="I2" s="84"/>
    </row>
    <row r="3" spans="1:12" s="5" customFormat="1" x14ac:dyDescent="0.25">
      <c r="A3" s="40"/>
      <c r="C3" s="13"/>
      <c r="D3" s="13"/>
      <c r="E3" s="13"/>
      <c r="F3" s="13"/>
      <c r="G3" s="42" t="s">
        <v>116</v>
      </c>
      <c r="H3" s="65">
        <v>44655</v>
      </c>
      <c r="I3" s="66"/>
    </row>
    <row r="4" spans="1:12" s="5" customFormat="1" ht="30" customHeight="1" x14ac:dyDescent="0.25">
      <c r="A4" s="40"/>
      <c r="C4" s="13"/>
      <c r="D4" s="13"/>
      <c r="E4" s="13"/>
      <c r="F4" s="82"/>
      <c r="G4" s="82"/>
      <c r="H4" s="82" t="s">
        <v>182</v>
      </c>
      <c r="I4" s="82" t="s">
        <v>183</v>
      </c>
    </row>
    <row r="5" spans="1:12" s="5" customFormat="1" ht="32.25" x14ac:dyDescent="0.25">
      <c r="A5" s="43" t="s">
        <v>67</v>
      </c>
      <c r="B5" s="44" t="s">
        <v>95</v>
      </c>
      <c r="C5" s="15" t="s">
        <v>109</v>
      </c>
      <c r="D5" s="15" t="s">
        <v>100</v>
      </c>
      <c r="E5" s="15" t="s">
        <v>101</v>
      </c>
      <c r="F5" s="45" t="s">
        <v>218</v>
      </c>
      <c r="G5" s="46" t="s">
        <v>219</v>
      </c>
      <c r="H5" s="82"/>
      <c r="I5" s="82"/>
    </row>
    <row r="6" spans="1:12" ht="15" customHeight="1" x14ac:dyDescent="0.25">
      <c r="A6" s="72" t="s">
        <v>99</v>
      </c>
      <c r="B6" s="9" t="s">
        <v>191</v>
      </c>
      <c r="C6" s="24" t="s">
        <v>122</v>
      </c>
      <c r="D6" s="3" t="s">
        <v>200</v>
      </c>
      <c r="E6" s="3" t="s">
        <v>200</v>
      </c>
      <c r="F6" s="47" t="s">
        <v>200</v>
      </c>
      <c r="G6" s="48" t="s">
        <v>200</v>
      </c>
      <c r="H6" s="49" t="s">
        <v>159</v>
      </c>
      <c r="I6" s="24" t="s">
        <v>159</v>
      </c>
    </row>
    <row r="7" spans="1:12" x14ac:dyDescent="0.25">
      <c r="A7" s="73"/>
      <c r="B7" s="7" t="s">
        <v>110</v>
      </c>
      <c r="C7" s="3" t="s">
        <v>14</v>
      </c>
      <c r="D7" s="3" t="s">
        <v>221</v>
      </c>
      <c r="E7" s="3">
        <v>10</v>
      </c>
      <c r="F7" s="47" t="s">
        <v>200</v>
      </c>
      <c r="G7" s="48" t="s">
        <v>200</v>
      </c>
      <c r="H7" s="49">
        <v>144</v>
      </c>
      <c r="I7" s="24">
        <v>114</v>
      </c>
    </row>
    <row r="8" spans="1:12" x14ac:dyDescent="0.25">
      <c r="A8" s="74"/>
      <c r="B8" s="9" t="s">
        <v>187</v>
      </c>
      <c r="C8" s="24" t="s">
        <v>125</v>
      </c>
      <c r="D8" s="3" t="s">
        <v>200</v>
      </c>
      <c r="E8" s="3">
        <v>0</v>
      </c>
      <c r="F8" s="47" t="s">
        <v>200</v>
      </c>
      <c r="G8" s="48" t="s">
        <v>200</v>
      </c>
      <c r="H8" s="49">
        <v>1</v>
      </c>
      <c r="I8" s="24">
        <v>1</v>
      </c>
    </row>
    <row r="9" spans="1:12" ht="15" customHeight="1" x14ac:dyDescent="0.25">
      <c r="A9" s="85" t="s">
        <v>96</v>
      </c>
      <c r="B9" s="8" t="s">
        <v>68</v>
      </c>
      <c r="C9" s="3" t="s">
        <v>2</v>
      </c>
      <c r="D9" s="3" t="s">
        <v>133</v>
      </c>
      <c r="E9" s="3">
        <v>50</v>
      </c>
      <c r="F9" s="47" t="s">
        <v>200</v>
      </c>
      <c r="G9" s="48" t="s">
        <v>200</v>
      </c>
      <c r="H9" s="50">
        <v>83307</v>
      </c>
      <c r="I9" s="37">
        <v>71328</v>
      </c>
      <c r="K9" s="58"/>
      <c r="L9" s="58"/>
    </row>
    <row r="10" spans="1:12" x14ac:dyDescent="0.25">
      <c r="A10" s="85"/>
      <c r="B10" s="8" t="s">
        <v>91</v>
      </c>
      <c r="C10" s="3" t="s">
        <v>31</v>
      </c>
      <c r="D10" s="3" t="s">
        <v>133</v>
      </c>
      <c r="E10" s="3">
        <v>0.05</v>
      </c>
      <c r="F10" s="47" t="s">
        <v>200</v>
      </c>
      <c r="G10" s="48">
        <v>0.27</v>
      </c>
      <c r="H10" s="51">
        <v>0.55000000000000004</v>
      </c>
      <c r="I10" s="48">
        <v>0.69</v>
      </c>
      <c r="K10" s="58"/>
      <c r="L10" s="58"/>
    </row>
    <row r="11" spans="1:12" x14ac:dyDescent="0.25">
      <c r="A11" s="85"/>
      <c r="B11" s="8" t="s">
        <v>69</v>
      </c>
      <c r="C11" s="3" t="s">
        <v>3</v>
      </c>
      <c r="D11" s="3" t="s">
        <v>133</v>
      </c>
      <c r="E11" s="3">
        <v>0.5</v>
      </c>
      <c r="F11" s="47">
        <v>300</v>
      </c>
      <c r="G11" s="48">
        <v>46</v>
      </c>
      <c r="H11" s="49">
        <v>2.2999999999999998</v>
      </c>
      <c r="I11" s="24">
        <v>1.5</v>
      </c>
      <c r="K11" s="58"/>
      <c r="L11" s="58"/>
    </row>
    <row r="12" spans="1:12" x14ac:dyDescent="0.25">
      <c r="A12" s="85"/>
      <c r="B12" s="8" t="s">
        <v>70</v>
      </c>
      <c r="C12" s="3" t="s">
        <v>5</v>
      </c>
      <c r="D12" s="3" t="s">
        <v>133</v>
      </c>
      <c r="E12" s="3">
        <v>0.1</v>
      </c>
      <c r="F12" s="47" t="s">
        <v>200</v>
      </c>
      <c r="G12" s="52">
        <v>2000</v>
      </c>
      <c r="H12" s="53">
        <v>373.1</v>
      </c>
      <c r="I12" s="38">
        <v>407.1</v>
      </c>
      <c r="K12" s="58"/>
      <c r="L12" s="58"/>
    </row>
    <row r="13" spans="1:12" x14ac:dyDescent="0.25">
      <c r="A13" s="85"/>
      <c r="B13" s="8" t="s">
        <v>71</v>
      </c>
      <c r="C13" s="3" t="s">
        <v>6</v>
      </c>
      <c r="D13" s="3" t="s">
        <v>133</v>
      </c>
      <c r="E13" s="3">
        <v>0.05</v>
      </c>
      <c r="F13" s="47">
        <v>90</v>
      </c>
      <c r="G13" s="48">
        <v>21</v>
      </c>
      <c r="H13" s="49">
        <v>1.52</v>
      </c>
      <c r="I13" s="24">
        <v>1.3</v>
      </c>
      <c r="K13" s="58"/>
      <c r="L13" s="58"/>
    </row>
    <row r="14" spans="1:12" x14ac:dyDescent="0.25">
      <c r="A14" s="85"/>
      <c r="B14" s="8" t="s">
        <v>85</v>
      </c>
      <c r="C14" s="3" t="s">
        <v>7</v>
      </c>
      <c r="D14" s="3" t="s">
        <v>133</v>
      </c>
      <c r="E14" s="3">
        <v>0.01</v>
      </c>
      <c r="F14" s="47" t="s">
        <v>200</v>
      </c>
      <c r="G14" s="48" t="s">
        <v>200</v>
      </c>
      <c r="H14" s="49">
        <v>1.1399999999999999</v>
      </c>
      <c r="I14" s="24">
        <v>1.67</v>
      </c>
      <c r="K14" s="58"/>
      <c r="L14" s="58"/>
    </row>
    <row r="15" spans="1:12" x14ac:dyDescent="0.25">
      <c r="A15" s="85"/>
      <c r="B15" s="8" t="s">
        <v>73</v>
      </c>
      <c r="C15" s="3" t="s">
        <v>9</v>
      </c>
      <c r="D15" s="3" t="s">
        <v>133</v>
      </c>
      <c r="E15" s="3">
        <v>0.02</v>
      </c>
      <c r="F15" s="47">
        <v>90</v>
      </c>
      <c r="G15" s="48">
        <v>0.36</v>
      </c>
      <c r="H15" s="49">
        <v>0.08</v>
      </c>
      <c r="I15" s="24">
        <v>0.08</v>
      </c>
      <c r="K15" s="58"/>
      <c r="L15" s="58"/>
    </row>
    <row r="16" spans="1:12" x14ac:dyDescent="0.25">
      <c r="A16" s="85"/>
      <c r="B16" s="8" t="s">
        <v>74</v>
      </c>
      <c r="C16" s="3" t="s">
        <v>12</v>
      </c>
      <c r="D16" s="3" t="s">
        <v>133</v>
      </c>
      <c r="E16" s="3">
        <v>5</v>
      </c>
      <c r="F16" s="47" t="s">
        <v>200</v>
      </c>
      <c r="G16" s="48">
        <v>34</v>
      </c>
      <c r="H16" s="49">
        <v>22</v>
      </c>
      <c r="I16" s="24">
        <v>30</v>
      </c>
      <c r="K16" s="58"/>
      <c r="L16" s="58"/>
    </row>
    <row r="17" spans="1:12" x14ac:dyDescent="0.25">
      <c r="A17" s="85"/>
      <c r="B17" s="8" t="s">
        <v>75</v>
      </c>
      <c r="C17" s="3" t="s">
        <v>11</v>
      </c>
      <c r="D17" s="3" t="s">
        <v>133</v>
      </c>
      <c r="E17" s="3">
        <v>0.1</v>
      </c>
      <c r="F17" s="47">
        <v>300</v>
      </c>
      <c r="G17" s="48">
        <v>230</v>
      </c>
      <c r="H17" s="49">
        <v>8.9</v>
      </c>
      <c r="I17" s="24">
        <v>8.1999999999999993</v>
      </c>
      <c r="K17" s="58"/>
      <c r="L17" s="58"/>
    </row>
    <row r="18" spans="1:12" x14ac:dyDescent="0.25">
      <c r="A18" s="85"/>
      <c r="B18" s="8" t="s">
        <v>76</v>
      </c>
      <c r="C18" s="3" t="s">
        <v>13</v>
      </c>
      <c r="D18" s="3" t="s">
        <v>133</v>
      </c>
      <c r="E18" s="3">
        <v>1</v>
      </c>
      <c r="F18" s="54">
        <v>17000</v>
      </c>
      <c r="G18" s="48">
        <v>49</v>
      </c>
      <c r="H18" s="49">
        <v>19</v>
      </c>
      <c r="I18" s="24">
        <v>17</v>
      </c>
      <c r="K18" s="58"/>
      <c r="L18" s="58"/>
    </row>
    <row r="19" spans="1:12" x14ac:dyDescent="0.25">
      <c r="A19" s="85"/>
      <c r="B19" s="8" t="s">
        <v>108</v>
      </c>
      <c r="C19" s="3" t="s">
        <v>123</v>
      </c>
      <c r="D19" s="3" t="s">
        <v>135</v>
      </c>
      <c r="E19" s="3">
        <v>0.01</v>
      </c>
      <c r="F19" s="47" t="s">
        <v>200</v>
      </c>
      <c r="G19" s="48" t="s">
        <v>200</v>
      </c>
      <c r="H19" s="49">
        <v>2.57</v>
      </c>
      <c r="I19" s="24">
        <v>2.14</v>
      </c>
      <c r="K19" s="58"/>
      <c r="L19" s="58"/>
    </row>
    <row r="20" spans="1:12" x14ac:dyDescent="0.25">
      <c r="A20" s="85"/>
      <c r="B20" s="8" t="s">
        <v>77</v>
      </c>
      <c r="C20" s="3" t="s">
        <v>25</v>
      </c>
      <c r="D20" s="3" t="s">
        <v>133</v>
      </c>
      <c r="E20" s="3">
        <v>0.5</v>
      </c>
      <c r="F20" s="47">
        <v>600</v>
      </c>
      <c r="G20" s="48">
        <v>56</v>
      </c>
      <c r="H20" s="49">
        <v>15.7</v>
      </c>
      <c r="I20" s="24">
        <v>12.1</v>
      </c>
      <c r="K20" s="58"/>
      <c r="L20" s="58"/>
    </row>
    <row r="21" spans="1:12" x14ac:dyDescent="0.25">
      <c r="A21" s="85"/>
      <c r="B21" s="8" t="s">
        <v>78</v>
      </c>
      <c r="C21" s="3" t="s">
        <v>20</v>
      </c>
      <c r="D21" s="3" t="s">
        <v>133</v>
      </c>
      <c r="E21" s="3">
        <v>1</v>
      </c>
      <c r="F21" s="54">
        <v>19000</v>
      </c>
      <c r="G21" s="52">
        <v>4000</v>
      </c>
      <c r="H21" s="49">
        <v>407</v>
      </c>
      <c r="I21" s="24">
        <v>320</v>
      </c>
      <c r="K21" s="58"/>
      <c r="L21" s="58"/>
    </row>
    <row r="22" spans="1:12" x14ac:dyDescent="0.25">
      <c r="A22" s="85"/>
      <c r="B22" s="8" t="s">
        <v>79</v>
      </c>
      <c r="C22" s="3" t="s">
        <v>17</v>
      </c>
      <c r="D22" s="3" t="s">
        <v>133</v>
      </c>
      <c r="E22" s="3">
        <f>1/1000</f>
        <v>1E-3</v>
      </c>
      <c r="F22" s="47">
        <v>80</v>
      </c>
      <c r="G22" s="48" t="s">
        <v>200</v>
      </c>
      <c r="H22" s="49">
        <f>39/1000</f>
        <v>3.9E-2</v>
      </c>
      <c r="I22" s="24">
        <f>62/1000</f>
        <v>6.2E-2</v>
      </c>
      <c r="K22" s="58"/>
      <c r="L22" s="58"/>
    </row>
    <row r="23" spans="1:12" x14ac:dyDescent="0.25">
      <c r="A23" s="85"/>
      <c r="B23" s="8" t="s">
        <v>89</v>
      </c>
      <c r="C23" s="3" t="s">
        <v>21</v>
      </c>
      <c r="D23" s="3" t="s">
        <v>133</v>
      </c>
      <c r="E23" s="3">
        <v>0.1</v>
      </c>
      <c r="F23" s="47" t="s">
        <v>200</v>
      </c>
      <c r="G23" s="48" t="s">
        <v>200</v>
      </c>
      <c r="H23" s="49">
        <v>11.7</v>
      </c>
      <c r="I23" s="24">
        <v>34.4</v>
      </c>
      <c r="K23" s="58"/>
      <c r="L23" s="58"/>
    </row>
    <row r="24" spans="1:12" x14ac:dyDescent="0.25">
      <c r="A24" s="85"/>
      <c r="B24" s="8" t="s">
        <v>80</v>
      </c>
      <c r="C24" s="3" t="s">
        <v>23</v>
      </c>
      <c r="D24" s="3" t="s">
        <v>133</v>
      </c>
      <c r="E24" s="3">
        <v>1</v>
      </c>
      <c r="F24" s="54">
        <v>1200</v>
      </c>
      <c r="G24" s="48">
        <v>130</v>
      </c>
      <c r="H24" s="49">
        <v>12</v>
      </c>
      <c r="I24" s="24">
        <v>19</v>
      </c>
      <c r="K24" s="58"/>
      <c r="L24" s="58"/>
    </row>
    <row r="25" spans="1:12" x14ac:dyDescent="0.25">
      <c r="A25" s="85"/>
      <c r="B25" s="8" t="s">
        <v>81</v>
      </c>
      <c r="C25" s="3" t="s">
        <v>32</v>
      </c>
      <c r="D25" s="3" t="s">
        <v>133</v>
      </c>
      <c r="E25" s="3">
        <v>0.01</v>
      </c>
      <c r="F25" s="47">
        <v>700</v>
      </c>
      <c r="G25" s="48">
        <v>0.63</v>
      </c>
      <c r="H25" s="49">
        <v>0.18</v>
      </c>
      <c r="I25" s="24">
        <v>0.2</v>
      </c>
      <c r="K25" s="58"/>
      <c r="L25" s="58"/>
    </row>
    <row r="26" spans="1:12" x14ac:dyDescent="0.25">
      <c r="A26" s="85"/>
      <c r="B26" s="8" t="s">
        <v>82</v>
      </c>
      <c r="C26" s="3" t="s">
        <v>1</v>
      </c>
      <c r="D26" s="3" t="s">
        <v>133</v>
      </c>
      <c r="E26" s="3">
        <v>0.1</v>
      </c>
      <c r="F26" s="47" t="s">
        <v>200</v>
      </c>
      <c r="G26" s="48">
        <v>14</v>
      </c>
      <c r="H26" s="49">
        <v>0.3</v>
      </c>
      <c r="I26" s="24">
        <v>0.2</v>
      </c>
      <c r="K26" s="58"/>
      <c r="L26" s="58"/>
    </row>
    <row r="27" spans="1:12" x14ac:dyDescent="0.25">
      <c r="A27" s="85"/>
      <c r="B27" s="8" t="s">
        <v>104</v>
      </c>
      <c r="C27" s="3" t="s">
        <v>34</v>
      </c>
      <c r="D27" s="3" t="s">
        <v>133</v>
      </c>
      <c r="E27" s="3">
        <v>0.05</v>
      </c>
      <c r="F27" s="47" t="s">
        <v>200</v>
      </c>
      <c r="G27" s="48" t="s">
        <v>200</v>
      </c>
      <c r="H27" s="53">
        <v>95.12</v>
      </c>
      <c r="I27" s="38">
        <v>155.44</v>
      </c>
      <c r="K27" s="58"/>
      <c r="L27" s="58"/>
    </row>
    <row r="28" spans="1:12" x14ac:dyDescent="0.25">
      <c r="A28" s="85"/>
      <c r="B28" s="8" t="s">
        <v>93</v>
      </c>
      <c r="C28" s="3" t="s">
        <v>36</v>
      </c>
      <c r="D28" s="3" t="s">
        <v>133</v>
      </c>
      <c r="E28" s="3">
        <v>0.01</v>
      </c>
      <c r="F28" s="47" t="s">
        <v>200</v>
      </c>
      <c r="G28" s="48" t="s">
        <v>200</v>
      </c>
      <c r="H28" s="49">
        <v>4.05</v>
      </c>
      <c r="I28" s="24">
        <v>3.11</v>
      </c>
      <c r="K28" s="58"/>
      <c r="L28" s="58"/>
    </row>
    <row r="29" spans="1:12" x14ac:dyDescent="0.25">
      <c r="A29" s="85"/>
      <c r="B29" s="8" t="s">
        <v>92</v>
      </c>
      <c r="C29" s="3" t="s">
        <v>33</v>
      </c>
      <c r="D29" s="3" t="s">
        <v>133</v>
      </c>
      <c r="E29" s="3">
        <v>0.1</v>
      </c>
      <c r="F29" s="47" t="s">
        <v>200</v>
      </c>
      <c r="G29" s="48" t="s">
        <v>200</v>
      </c>
      <c r="H29" s="49">
        <v>0.6</v>
      </c>
      <c r="I29" s="24">
        <v>0.4</v>
      </c>
      <c r="K29" s="58"/>
      <c r="L29" s="58"/>
    </row>
    <row r="30" spans="1:12" x14ac:dyDescent="0.25">
      <c r="A30" s="85"/>
      <c r="B30" s="8" t="s">
        <v>94</v>
      </c>
      <c r="C30" s="3" t="s">
        <v>37</v>
      </c>
      <c r="D30" s="3" t="s">
        <v>133</v>
      </c>
      <c r="E30" s="3">
        <v>0.01</v>
      </c>
      <c r="F30" s="47" t="s">
        <v>200</v>
      </c>
      <c r="G30" s="48" t="s">
        <v>200</v>
      </c>
      <c r="H30" s="49">
        <v>1.69</v>
      </c>
      <c r="I30" s="24">
        <v>1.54</v>
      </c>
      <c r="K30" s="58"/>
      <c r="L30" s="58"/>
    </row>
    <row r="31" spans="1:12" x14ac:dyDescent="0.25">
      <c r="A31" s="85"/>
      <c r="B31" s="8" t="s">
        <v>83</v>
      </c>
      <c r="C31" s="3" t="s">
        <v>38</v>
      </c>
      <c r="D31" s="3" t="s">
        <v>133</v>
      </c>
      <c r="E31" s="3">
        <v>1</v>
      </c>
      <c r="F31" s="47" t="s">
        <v>200</v>
      </c>
      <c r="G31" s="48">
        <v>280</v>
      </c>
      <c r="H31" s="49">
        <v>57</v>
      </c>
      <c r="I31" s="24">
        <v>49</v>
      </c>
      <c r="K31" s="58"/>
      <c r="L31" s="58"/>
    </row>
    <row r="32" spans="1:12" x14ac:dyDescent="0.25">
      <c r="A32" s="85"/>
      <c r="B32" s="8" t="s">
        <v>84</v>
      </c>
      <c r="C32" s="3" t="s">
        <v>39</v>
      </c>
      <c r="D32" s="3" t="s">
        <v>133</v>
      </c>
      <c r="E32" s="3">
        <v>1</v>
      </c>
      <c r="F32" s="54">
        <v>30000</v>
      </c>
      <c r="G32" s="48">
        <v>79</v>
      </c>
      <c r="H32" s="49">
        <v>57</v>
      </c>
      <c r="I32" s="24">
        <v>58</v>
      </c>
      <c r="K32" s="58"/>
      <c r="L32" s="58"/>
    </row>
    <row r="33" spans="1:12" x14ac:dyDescent="0.25">
      <c r="A33" s="4" t="s">
        <v>220</v>
      </c>
      <c r="B33" s="8" t="s">
        <v>224</v>
      </c>
      <c r="C33" s="3" t="s">
        <v>24</v>
      </c>
      <c r="D33" s="3" t="s">
        <v>133</v>
      </c>
      <c r="E33" s="3">
        <v>50</v>
      </c>
      <c r="F33" s="47" t="s">
        <v>200</v>
      </c>
      <c r="G33" s="52">
        <v>2000</v>
      </c>
      <c r="H33" s="49">
        <v>248</v>
      </c>
      <c r="I33" s="24">
        <v>249</v>
      </c>
      <c r="K33" s="58"/>
      <c r="L33" s="58"/>
    </row>
    <row r="34" spans="1:12" x14ac:dyDescent="0.25">
      <c r="A34" s="85" t="s">
        <v>186</v>
      </c>
      <c r="B34" s="8" t="s">
        <v>184</v>
      </c>
      <c r="C34" s="24" t="s">
        <v>119</v>
      </c>
      <c r="D34" s="3" t="s">
        <v>135</v>
      </c>
      <c r="E34" s="3">
        <v>0.01</v>
      </c>
      <c r="F34" s="47" t="s">
        <v>200</v>
      </c>
      <c r="G34" s="48" t="s">
        <v>200</v>
      </c>
      <c r="H34" s="49">
        <v>0.2</v>
      </c>
      <c r="I34" s="24">
        <v>0.31</v>
      </c>
      <c r="K34" s="58"/>
      <c r="L34" s="58"/>
    </row>
    <row r="35" spans="1:12" x14ac:dyDescent="0.25">
      <c r="A35" s="85"/>
      <c r="B35" s="7" t="s">
        <v>195</v>
      </c>
      <c r="C35" s="24" t="s">
        <v>120</v>
      </c>
      <c r="D35" s="3" t="s">
        <v>135</v>
      </c>
      <c r="E35" s="3">
        <v>0.01</v>
      </c>
      <c r="F35" s="47" t="s">
        <v>200</v>
      </c>
      <c r="G35" s="48" t="s">
        <v>200</v>
      </c>
      <c r="H35" s="49">
        <v>0.04</v>
      </c>
      <c r="I35" s="24">
        <v>0.03</v>
      </c>
      <c r="K35" s="58"/>
      <c r="L35" s="58"/>
    </row>
    <row r="36" spans="1:12" ht="15" customHeight="1" x14ac:dyDescent="0.25">
      <c r="A36" s="89" t="s">
        <v>196</v>
      </c>
      <c r="B36" s="8" t="s">
        <v>29</v>
      </c>
      <c r="C36" s="3" t="s">
        <v>29</v>
      </c>
      <c r="D36" s="3" t="s">
        <v>117</v>
      </c>
      <c r="E36" s="3">
        <v>0.1</v>
      </c>
      <c r="F36" s="47" t="s">
        <v>200</v>
      </c>
      <c r="G36" s="48" t="s">
        <v>200</v>
      </c>
      <c r="H36" s="49">
        <v>9.5</v>
      </c>
      <c r="I36" s="24">
        <v>9.6999999999999993</v>
      </c>
      <c r="K36" s="58"/>
      <c r="L36" s="58"/>
    </row>
    <row r="37" spans="1:12" x14ac:dyDescent="0.25">
      <c r="A37" s="89"/>
      <c r="B37" s="55" t="s">
        <v>192</v>
      </c>
      <c r="C37" s="24" t="s">
        <v>131</v>
      </c>
      <c r="D37" s="3" t="s">
        <v>117</v>
      </c>
      <c r="E37" s="3">
        <v>0.1</v>
      </c>
      <c r="F37" s="47" t="s">
        <v>200</v>
      </c>
      <c r="G37" s="48" t="s">
        <v>200</v>
      </c>
      <c r="H37" s="49">
        <v>4.5</v>
      </c>
      <c r="I37" s="24">
        <v>4.5</v>
      </c>
      <c r="K37" s="58"/>
      <c r="L37" s="58"/>
    </row>
    <row r="38" spans="1:12" x14ac:dyDescent="0.25">
      <c r="A38" s="89"/>
      <c r="B38" s="55" t="s">
        <v>193</v>
      </c>
      <c r="C38" s="24" t="s">
        <v>124</v>
      </c>
      <c r="D38" s="3" t="s">
        <v>117</v>
      </c>
      <c r="E38" s="3">
        <v>0.1</v>
      </c>
      <c r="F38" s="47" t="s">
        <v>200</v>
      </c>
      <c r="G38" s="48" t="s">
        <v>200</v>
      </c>
      <c r="H38" s="49">
        <v>1.2</v>
      </c>
      <c r="I38" s="24">
        <v>1.3</v>
      </c>
      <c r="K38" s="58"/>
      <c r="L38" s="58"/>
    </row>
    <row r="39" spans="1:12" ht="15" customHeight="1" x14ac:dyDescent="0.25">
      <c r="A39" s="89"/>
      <c r="B39" s="56" t="s">
        <v>198</v>
      </c>
      <c r="C39" s="24" t="s">
        <v>118</v>
      </c>
      <c r="D39" s="3" t="s">
        <v>222</v>
      </c>
      <c r="E39" s="3">
        <v>1</v>
      </c>
      <c r="F39" s="47" t="s">
        <v>200</v>
      </c>
      <c r="G39" s="48" t="s">
        <v>200</v>
      </c>
      <c r="H39" s="49">
        <v>22</v>
      </c>
      <c r="I39" s="24">
        <v>41</v>
      </c>
      <c r="K39" s="58"/>
      <c r="L39" s="58"/>
    </row>
    <row r="40" spans="1:12" ht="15" customHeight="1" x14ac:dyDescent="0.25">
      <c r="A40" s="89"/>
      <c r="B40" s="56" t="s">
        <v>199</v>
      </c>
      <c r="C40" s="24" t="s">
        <v>126</v>
      </c>
      <c r="D40" s="3" t="s">
        <v>222</v>
      </c>
      <c r="E40" s="3">
        <v>1</v>
      </c>
      <c r="F40" s="47" t="s">
        <v>200</v>
      </c>
      <c r="G40" s="48" t="s">
        <v>200</v>
      </c>
      <c r="H40" s="49">
        <v>4</v>
      </c>
      <c r="I40" s="24">
        <v>6</v>
      </c>
      <c r="K40" s="58"/>
      <c r="L40" s="58"/>
    </row>
    <row r="41" spans="1:12" ht="15" customHeight="1" x14ac:dyDescent="0.25">
      <c r="A41" s="89"/>
      <c r="B41" s="7" t="s">
        <v>188</v>
      </c>
      <c r="C41" s="24" t="s">
        <v>127</v>
      </c>
      <c r="D41" s="3" t="s">
        <v>222</v>
      </c>
      <c r="E41" s="3">
        <v>1</v>
      </c>
      <c r="F41" s="47" t="s">
        <v>200</v>
      </c>
      <c r="G41" s="48" t="s">
        <v>200</v>
      </c>
      <c r="H41" s="49">
        <v>0</v>
      </c>
      <c r="I41" s="24">
        <v>0</v>
      </c>
      <c r="K41" s="58"/>
      <c r="L41" s="58"/>
    </row>
    <row r="42" spans="1:12" ht="15" customHeight="1" x14ac:dyDescent="0.25">
      <c r="A42" s="89"/>
      <c r="B42" s="7" t="s">
        <v>194</v>
      </c>
      <c r="C42" s="24" t="s">
        <v>128</v>
      </c>
      <c r="D42" s="3" t="s">
        <v>44</v>
      </c>
      <c r="E42" s="3">
        <v>0.1</v>
      </c>
      <c r="F42" s="47" t="s">
        <v>200</v>
      </c>
      <c r="G42" s="48" t="s">
        <v>200</v>
      </c>
      <c r="H42" s="49">
        <v>10.199999999999999</v>
      </c>
      <c r="I42" s="24">
        <v>10.6</v>
      </c>
      <c r="K42" s="58"/>
      <c r="L42" s="58"/>
    </row>
    <row r="43" spans="1:12" ht="15" customHeight="1" x14ac:dyDescent="0.25">
      <c r="A43" s="89"/>
      <c r="B43" s="7" t="s">
        <v>189</v>
      </c>
      <c r="C43" s="24" t="s">
        <v>129</v>
      </c>
      <c r="D43" s="3" t="s">
        <v>222</v>
      </c>
      <c r="E43" s="3">
        <v>1</v>
      </c>
      <c r="F43" s="47" t="s">
        <v>200</v>
      </c>
      <c r="G43" s="48" t="s">
        <v>200</v>
      </c>
      <c r="H43" s="49">
        <v>0</v>
      </c>
      <c r="I43" s="24">
        <v>0</v>
      </c>
      <c r="K43" s="58"/>
      <c r="L43" s="58"/>
    </row>
    <row r="44" spans="1:12" ht="15" customHeight="1" x14ac:dyDescent="0.25">
      <c r="A44" s="89"/>
      <c r="B44" s="56" t="s">
        <v>197</v>
      </c>
      <c r="C44" s="24" t="s">
        <v>130</v>
      </c>
      <c r="D44" s="3" t="s">
        <v>222</v>
      </c>
      <c r="E44" s="3">
        <v>1</v>
      </c>
      <c r="F44" s="47" t="s">
        <v>200</v>
      </c>
      <c r="G44" s="48" t="s">
        <v>200</v>
      </c>
      <c r="H44" s="49">
        <v>-18</v>
      </c>
      <c r="I44" s="24">
        <v>-35</v>
      </c>
      <c r="K44" s="58"/>
      <c r="L44" s="58"/>
    </row>
    <row r="45" spans="1:12" x14ac:dyDescent="0.25">
      <c r="A45" s="89"/>
      <c r="B45" s="8" t="s">
        <v>103</v>
      </c>
      <c r="C45" s="24" t="s">
        <v>30</v>
      </c>
      <c r="D45" s="3" t="s">
        <v>135</v>
      </c>
      <c r="E45" s="3">
        <v>0.01</v>
      </c>
      <c r="F45" s="47" t="s">
        <v>200</v>
      </c>
      <c r="G45" s="48" t="s">
        <v>200</v>
      </c>
      <c r="H45" s="49">
        <v>0.12</v>
      </c>
      <c r="I45" s="24">
        <v>0.19</v>
      </c>
      <c r="K45" s="58"/>
      <c r="L45" s="58"/>
    </row>
    <row r="46" spans="1:12" x14ac:dyDescent="0.25">
      <c r="A46" s="89"/>
      <c r="B46" s="8" t="s">
        <v>103</v>
      </c>
      <c r="C46" s="24" t="s">
        <v>30</v>
      </c>
      <c r="D46" s="3" t="s">
        <v>135</v>
      </c>
      <c r="E46" s="3">
        <v>5.0000000000000001E-3</v>
      </c>
      <c r="F46" s="47" t="s">
        <v>200</v>
      </c>
      <c r="G46" s="48" t="s">
        <v>200</v>
      </c>
      <c r="H46" s="49">
        <v>8.5000000000000006E-2</v>
      </c>
      <c r="I46" s="24">
        <v>0.13</v>
      </c>
      <c r="K46" s="58"/>
      <c r="L46" s="58"/>
    </row>
    <row r="47" spans="1:12" ht="15" customHeight="1" x14ac:dyDescent="0.25">
      <c r="A47" s="89"/>
      <c r="B47" s="8" t="s">
        <v>185</v>
      </c>
      <c r="C47" s="24" t="s">
        <v>121</v>
      </c>
      <c r="D47" s="3" t="s">
        <v>135</v>
      </c>
      <c r="E47" s="3">
        <v>0.01</v>
      </c>
      <c r="F47" s="47" t="s">
        <v>200</v>
      </c>
      <c r="G47" s="48" t="s">
        <v>200</v>
      </c>
      <c r="H47" s="49">
        <v>0.16</v>
      </c>
      <c r="I47" s="24">
        <v>0.28000000000000003</v>
      </c>
      <c r="K47" s="58"/>
      <c r="L47" s="58"/>
    </row>
    <row r="48" spans="1:12" x14ac:dyDescent="0.25">
      <c r="A48" s="86" t="s">
        <v>212</v>
      </c>
      <c r="B48" s="8" t="s">
        <v>86</v>
      </c>
      <c r="C48" s="3" t="s">
        <v>8</v>
      </c>
      <c r="D48" s="3" t="s">
        <v>133</v>
      </c>
      <c r="E48" s="3">
        <v>50</v>
      </c>
      <c r="F48" s="47" t="s">
        <v>200</v>
      </c>
      <c r="G48" s="48" t="s">
        <v>200</v>
      </c>
      <c r="H48" s="50">
        <v>5941</v>
      </c>
      <c r="I48" s="37">
        <v>9405</v>
      </c>
      <c r="K48" s="58"/>
      <c r="L48" s="58"/>
    </row>
    <row r="49" spans="1:12" x14ac:dyDescent="0.25">
      <c r="A49" s="87"/>
      <c r="B49" s="8" t="s">
        <v>88</v>
      </c>
      <c r="C49" s="3" t="s">
        <v>19</v>
      </c>
      <c r="D49" s="3" t="s">
        <v>133</v>
      </c>
      <c r="E49" s="3">
        <v>20</v>
      </c>
      <c r="F49" s="47" t="s">
        <v>200</v>
      </c>
      <c r="G49" s="48" t="s">
        <v>200</v>
      </c>
      <c r="H49" s="50">
        <v>3052</v>
      </c>
      <c r="I49" s="37">
        <v>4946</v>
      </c>
      <c r="K49" s="58"/>
      <c r="L49" s="58"/>
    </row>
    <row r="50" spans="1:12" x14ac:dyDescent="0.25">
      <c r="A50" s="87"/>
      <c r="B50" s="8" t="s">
        <v>87</v>
      </c>
      <c r="C50" s="3" t="s">
        <v>18</v>
      </c>
      <c r="D50" s="3" t="s">
        <v>133</v>
      </c>
      <c r="E50" s="3">
        <v>20</v>
      </c>
      <c r="F50" s="47" t="s">
        <v>200</v>
      </c>
      <c r="G50" s="48" t="s">
        <v>200</v>
      </c>
      <c r="H50" s="50">
        <v>20213</v>
      </c>
      <c r="I50" s="37">
        <v>19346</v>
      </c>
      <c r="K50" s="58"/>
      <c r="L50" s="58"/>
    </row>
    <row r="51" spans="1:12" x14ac:dyDescent="0.25">
      <c r="A51" s="87"/>
      <c r="B51" s="8" t="s">
        <v>90</v>
      </c>
      <c r="C51" s="3" t="s">
        <v>22</v>
      </c>
      <c r="D51" s="3" t="s">
        <v>133</v>
      </c>
      <c r="E51" s="3">
        <v>20</v>
      </c>
      <c r="F51" s="47" t="s">
        <v>200</v>
      </c>
      <c r="G51" s="48" t="s">
        <v>200</v>
      </c>
      <c r="H51" s="50">
        <v>12248</v>
      </c>
      <c r="I51" s="37">
        <v>15792</v>
      </c>
      <c r="K51" s="58"/>
      <c r="L51" s="58"/>
    </row>
    <row r="52" spans="1:12" x14ac:dyDescent="0.25">
      <c r="A52" s="87"/>
      <c r="B52" s="8" t="s">
        <v>213</v>
      </c>
      <c r="C52" s="3" t="s">
        <v>15</v>
      </c>
      <c r="D52" s="3" t="s">
        <v>133</v>
      </c>
      <c r="E52" s="3">
        <v>50</v>
      </c>
      <c r="F52" s="47" t="s">
        <v>200</v>
      </c>
      <c r="G52" s="48" t="s">
        <v>200</v>
      </c>
      <c r="H52" s="49">
        <v>661</v>
      </c>
      <c r="I52" s="24">
        <v>728</v>
      </c>
      <c r="K52" s="58"/>
      <c r="L52" s="58"/>
    </row>
    <row r="53" spans="1:12" x14ac:dyDescent="0.25">
      <c r="A53" s="87"/>
      <c r="B53" s="8" t="s">
        <v>190</v>
      </c>
      <c r="C53" s="24" t="s">
        <v>132</v>
      </c>
      <c r="D53" s="3" t="s">
        <v>135</v>
      </c>
      <c r="E53" s="3">
        <v>0.01</v>
      </c>
      <c r="F53" s="47" t="s">
        <v>200</v>
      </c>
      <c r="G53" s="52" t="s">
        <v>200</v>
      </c>
      <c r="H53" s="49" t="s">
        <v>200</v>
      </c>
      <c r="I53" s="24">
        <v>0.01</v>
      </c>
      <c r="K53" s="58"/>
      <c r="L53" s="58"/>
    </row>
    <row r="54" spans="1:12" x14ac:dyDescent="0.25">
      <c r="A54" s="88"/>
      <c r="B54" s="8" t="s">
        <v>190</v>
      </c>
      <c r="C54" s="24" t="s">
        <v>132</v>
      </c>
      <c r="D54" s="3" t="s">
        <v>135</v>
      </c>
      <c r="E54" s="3">
        <v>0.01</v>
      </c>
      <c r="F54" s="47" t="s">
        <v>200</v>
      </c>
      <c r="G54" s="52" t="s">
        <v>200</v>
      </c>
      <c r="H54" s="49">
        <v>0.03</v>
      </c>
      <c r="I54" s="24">
        <v>0.05</v>
      </c>
      <c r="K54" s="58"/>
      <c r="L54" s="58"/>
    </row>
    <row r="55" spans="1:12" x14ac:dyDescent="0.25">
      <c r="A55" s="2"/>
    </row>
    <row r="56" spans="1:12" x14ac:dyDescent="0.25">
      <c r="A56" s="2"/>
    </row>
    <row r="57" spans="1:12" x14ac:dyDescent="0.25">
      <c r="A57" s="2"/>
    </row>
    <row r="58" spans="1:12" x14ac:dyDescent="0.25">
      <c r="A58" s="11" t="s">
        <v>201</v>
      </c>
      <c r="B58" s="12"/>
      <c r="C58" s="29"/>
      <c r="D58" s="29"/>
      <c r="E58" s="29"/>
      <c r="F58" s="29"/>
      <c r="G58" s="29"/>
      <c r="H58" s="29"/>
      <c r="I58" s="29"/>
    </row>
    <row r="59" spans="1:12" ht="101.45" customHeight="1" x14ac:dyDescent="0.25">
      <c r="A59" s="64" t="s">
        <v>225</v>
      </c>
      <c r="B59" s="64"/>
      <c r="C59" s="64"/>
      <c r="D59" s="64"/>
      <c r="E59" s="64"/>
      <c r="F59" s="64"/>
      <c r="G59" s="64"/>
      <c r="H59" s="64"/>
      <c r="I59" s="64"/>
    </row>
  </sheetData>
  <sortState xmlns:xlrd2="http://schemas.microsoft.com/office/spreadsheetml/2017/richdata2" ref="B34:I35">
    <sortCondition ref="B34:B35"/>
  </sortState>
  <mergeCells count="11">
    <mergeCell ref="A59:I59"/>
    <mergeCell ref="F4:G4"/>
    <mergeCell ref="H2:I2"/>
    <mergeCell ref="H3:I3"/>
    <mergeCell ref="H4:H5"/>
    <mergeCell ref="I4:I5"/>
    <mergeCell ref="A6:A8"/>
    <mergeCell ref="A9:A32"/>
    <mergeCell ref="A48:A54"/>
    <mergeCell ref="A36:A47"/>
    <mergeCell ref="A34:A35"/>
  </mergeCells>
  <pageMargins left="0.7" right="0.7" top="0.75" bottom="0.75" header="0.3" footer="0.3"/>
  <pageSetup paperSize="9"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26A58-51DD-4E58-B8AE-518EE9504641}">
  <dimension ref="A1:AZ34"/>
  <sheetViews>
    <sheetView topLeftCell="L1" workbookViewId="0">
      <selection activeCell="AJ16" sqref="AJ16"/>
    </sheetView>
  </sheetViews>
  <sheetFormatPr defaultRowHeight="15" x14ac:dyDescent="0.25"/>
  <cols>
    <col min="1" max="1" width="22.140625" customWidth="1"/>
  </cols>
  <sheetData>
    <row r="1" spans="1:52" x14ac:dyDescent="0.25">
      <c r="A1" t="s">
        <v>0</v>
      </c>
      <c r="B1" s="1" t="s">
        <v>1</v>
      </c>
      <c r="C1" s="1" t="s">
        <v>2</v>
      </c>
      <c r="D1" s="1" t="s">
        <v>118</v>
      </c>
      <c r="E1" s="1" t="s">
        <v>3</v>
      </c>
      <c r="F1" s="1" t="s">
        <v>4</v>
      </c>
      <c r="G1" s="1" t="s">
        <v>5</v>
      </c>
      <c r="H1" s="1" t="s">
        <v>6</v>
      </c>
      <c r="I1" s="1" t="s">
        <v>7</v>
      </c>
      <c r="J1" s="1" t="s">
        <v>119</v>
      </c>
      <c r="K1" s="1" t="s">
        <v>120</v>
      </c>
      <c r="L1" s="1" t="s">
        <v>121</v>
      </c>
      <c r="M1" s="1" t="s">
        <v>8</v>
      </c>
      <c r="N1" s="1" t="s">
        <v>9</v>
      </c>
      <c r="O1" s="1" t="s">
        <v>10</v>
      </c>
      <c r="P1" s="1" t="s">
        <v>11</v>
      </c>
      <c r="Q1" s="1" t="s">
        <v>122</v>
      </c>
      <c r="R1" s="1" t="s">
        <v>12</v>
      </c>
      <c r="S1" s="1" t="s">
        <v>13</v>
      </c>
      <c r="T1" s="1" t="s">
        <v>14</v>
      </c>
      <c r="U1" s="1" t="s">
        <v>15</v>
      </c>
      <c r="V1" s="1" t="s">
        <v>123</v>
      </c>
      <c r="W1" s="1" t="s">
        <v>124</v>
      </c>
      <c r="X1" s="1" t="s">
        <v>125</v>
      </c>
      <c r="Y1" s="1" t="s">
        <v>17</v>
      </c>
      <c r="Z1" s="1" t="s">
        <v>18</v>
      </c>
      <c r="AA1" s="1" t="s">
        <v>19</v>
      </c>
      <c r="AB1" s="1" t="s">
        <v>20</v>
      </c>
      <c r="AC1" s="1" t="s">
        <v>21</v>
      </c>
      <c r="AD1" s="1" t="s">
        <v>126</v>
      </c>
      <c r="AE1" s="1" t="s">
        <v>22</v>
      </c>
      <c r="AF1" s="1" t="s">
        <v>127</v>
      </c>
      <c r="AG1" s="1" t="s">
        <v>128</v>
      </c>
      <c r="AH1" s="1" t="s">
        <v>129</v>
      </c>
      <c r="AI1" s="1" t="s">
        <v>130</v>
      </c>
      <c r="AJ1" s="1" t="s">
        <v>23</v>
      </c>
      <c r="AK1" s="1" t="s">
        <v>24</v>
      </c>
      <c r="AL1" s="1" t="s">
        <v>25</v>
      </c>
      <c r="AM1" s="1" t="s">
        <v>29</v>
      </c>
      <c r="AN1" s="1" t="s">
        <v>131</v>
      </c>
      <c r="AO1" s="1" t="s">
        <v>30</v>
      </c>
      <c r="AP1" s="1" t="s">
        <v>30</v>
      </c>
      <c r="AQ1" s="1" t="s">
        <v>132</v>
      </c>
      <c r="AR1" s="1" t="s">
        <v>132</v>
      </c>
      <c r="AS1" s="1" t="s">
        <v>31</v>
      </c>
      <c r="AT1" s="1" t="s">
        <v>32</v>
      </c>
      <c r="AU1" s="1" t="s">
        <v>33</v>
      </c>
      <c r="AV1" s="1" t="s">
        <v>34</v>
      </c>
      <c r="AW1" s="1" t="s">
        <v>36</v>
      </c>
      <c r="AX1" s="1" t="s">
        <v>37</v>
      </c>
      <c r="AY1" s="1" t="s">
        <v>38</v>
      </c>
      <c r="AZ1" s="1" t="s">
        <v>39</v>
      </c>
    </row>
    <row r="2" spans="1:52" x14ac:dyDescent="0.25">
      <c r="A2" t="s">
        <v>40</v>
      </c>
      <c r="B2" t="s">
        <v>133</v>
      </c>
      <c r="C2" t="s">
        <v>133</v>
      </c>
      <c r="D2" t="s">
        <v>134</v>
      </c>
      <c r="E2" t="s">
        <v>133</v>
      </c>
      <c r="F2" t="s">
        <v>133</v>
      </c>
      <c r="G2" t="s">
        <v>133</v>
      </c>
      <c r="H2" t="s">
        <v>133</v>
      </c>
      <c r="I2" t="s">
        <v>133</v>
      </c>
      <c r="J2" t="s">
        <v>135</v>
      </c>
      <c r="K2" t="s">
        <v>135</v>
      </c>
      <c r="L2" t="s">
        <v>135</v>
      </c>
      <c r="M2" t="s">
        <v>133</v>
      </c>
      <c r="N2" t="s">
        <v>133</v>
      </c>
      <c r="O2" t="s">
        <v>135</v>
      </c>
      <c r="P2" t="s">
        <v>133</v>
      </c>
      <c r="Q2" t="s">
        <v>44</v>
      </c>
      <c r="R2" t="s">
        <v>133</v>
      </c>
      <c r="S2" t="s">
        <v>133</v>
      </c>
      <c r="T2" t="s">
        <v>136</v>
      </c>
      <c r="U2" t="s">
        <v>133</v>
      </c>
      <c r="V2" t="s">
        <v>135</v>
      </c>
      <c r="W2" t="s">
        <v>44</v>
      </c>
      <c r="X2" t="s">
        <v>44</v>
      </c>
      <c r="Y2" t="s">
        <v>137</v>
      </c>
      <c r="Z2" t="s">
        <v>133</v>
      </c>
      <c r="AA2" t="s">
        <v>133</v>
      </c>
      <c r="AB2" t="s">
        <v>133</v>
      </c>
      <c r="AC2" t="s">
        <v>133</v>
      </c>
      <c r="AD2" t="s">
        <v>134</v>
      </c>
      <c r="AE2" t="s">
        <v>133</v>
      </c>
      <c r="AF2" t="s">
        <v>134</v>
      </c>
      <c r="AG2" t="s">
        <v>44</v>
      </c>
      <c r="AH2" t="s">
        <v>134</v>
      </c>
      <c r="AI2" t="s">
        <v>134</v>
      </c>
      <c r="AJ2" t="s">
        <v>133</v>
      </c>
      <c r="AK2" t="s">
        <v>133</v>
      </c>
      <c r="AL2" t="s">
        <v>133</v>
      </c>
      <c r="AM2" t="s">
        <v>44</v>
      </c>
      <c r="AN2" t="s">
        <v>44</v>
      </c>
      <c r="AO2" t="s">
        <v>135</v>
      </c>
      <c r="AP2" t="s">
        <v>135</v>
      </c>
      <c r="AQ2" t="s">
        <v>135</v>
      </c>
      <c r="AR2" t="s">
        <v>135</v>
      </c>
      <c r="AS2" t="s">
        <v>133</v>
      </c>
      <c r="AT2" t="s">
        <v>133</v>
      </c>
      <c r="AU2" t="s">
        <v>133</v>
      </c>
      <c r="AV2" t="s">
        <v>133</v>
      </c>
      <c r="AW2" t="s">
        <v>133</v>
      </c>
      <c r="AX2" t="s">
        <v>133</v>
      </c>
      <c r="AY2" t="s">
        <v>133</v>
      </c>
      <c r="AZ2" t="s">
        <v>133</v>
      </c>
    </row>
    <row r="3" spans="1:52" x14ac:dyDescent="0.25">
      <c r="A3" t="s">
        <v>46</v>
      </c>
      <c r="B3">
        <v>0.1</v>
      </c>
      <c r="C3">
        <v>50</v>
      </c>
      <c r="D3">
        <v>1</v>
      </c>
      <c r="E3">
        <v>0.5</v>
      </c>
      <c r="F3">
        <v>50</v>
      </c>
      <c r="G3">
        <v>0.1</v>
      </c>
      <c r="H3">
        <v>0.05</v>
      </c>
      <c r="I3">
        <v>0.01</v>
      </c>
      <c r="J3">
        <v>0.01</v>
      </c>
      <c r="K3">
        <v>0.01</v>
      </c>
      <c r="L3">
        <v>0.01</v>
      </c>
      <c r="M3">
        <v>50</v>
      </c>
      <c r="N3">
        <v>0.02</v>
      </c>
      <c r="O3">
        <v>0.02</v>
      </c>
      <c r="P3">
        <v>0.1</v>
      </c>
      <c r="Q3">
        <v>0</v>
      </c>
      <c r="R3">
        <v>5</v>
      </c>
      <c r="S3">
        <v>1</v>
      </c>
      <c r="T3">
        <v>10</v>
      </c>
      <c r="U3">
        <v>50</v>
      </c>
      <c r="V3">
        <v>0.01</v>
      </c>
      <c r="W3">
        <v>0.1</v>
      </c>
      <c r="X3">
        <v>0</v>
      </c>
      <c r="Y3">
        <v>1</v>
      </c>
      <c r="Z3">
        <v>20</v>
      </c>
      <c r="AA3">
        <v>20</v>
      </c>
      <c r="AB3">
        <v>1</v>
      </c>
      <c r="AC3">
        <v>0.1</v>
      </c>
      <c r="AD3">
        <v>1</v>
      </c>
      <c r="AE3">
        <v>20</v>
      </c>
      <c r="AF3">
        <v>1</v>
      </c>
      <c r="AG3">
        <v>0.1</v>
      </c>
      <c r="AH3">
        <v>1</v>
      </c>
      <c r="AI3">
        <v>1</v>
      </c>
      <c r="AJ3">
        <v>1</v>
      </c>
      <c r="AK3">
        <v>50</v>
      </c>
      <c r="AL3">
        <v>0.5</v>
      </c>
      <c r="AM3">
        <v>0.1</v>
      </c>
      <c r="AN3">
        <v>0.1</v>
      </c>
      <c r="AO3">
        <v>0.01</v>
      </c>
      <c r="AP3">
        <v>5.0000000000000001E-3</v>
      </c>
      <c r="AQ3">
        <v>0.01</v>
      </c>
      <c r="AR3">
        <v>0.01</v>
      </c>
      <c r="AS3">
        <v>0.05</v>
      </c>
      <c r="AT3">
        <v>0.01</v>
      </c>
      <c r="AU3">
        <v>0.1</v>
      </c>
      <c r="AV3">
        <v>0.05</v>
      </c>
      <c r="AW3">
        <v>0.01</v>
      </c>
      <c r="AX3">
        <v>0.01</v>
      </c>
      <c r="AY3">
        <v>1</v>
      </c>
      <c r="AZ3">
        <v>1</v>
      </c>
    </row>
    <row r="4" spans="1:52" x14ac:dyDescent="0.25">
      <c r="A4" t="s">
        <v>47</v>
      </c>
      <c r="B4" t="s">
        <v>138</v>
      </c>
      <c r="C4" t="s">
        <v>139</v>
      </c>
      <c r="D4" t="s">
        <v>140</v>
      </c>
      <c r="E4" t="s">
        <v>138</v>
      </c>
      <c r="F4" t="s">
        <v>141</v>
      </c>
      <c r="G4" t="s">
        <v>138</v>
      </c>
      <c r="H4" t="s">
        <v>138</v>
      </c>
      <c r="I4" t="s">
        <v>138</v>
      </c>
      <c r="J4" t="s">
        <v>142</v>
      </c>
      <c r="K4" t="s">
        <v>143</v>
      </c>
      <c r="L4" t="s">
        <v>144</v>
      </c>
      <c r="M4" t="s">
        <v>139</v>
      </c>
      <c r="N4" t="s">
        <v>138</v>
      </c>
      <c r="O4" t="s">
        <v>145</v>
      </c>
      <c r="P4" t="s">
        <v>138</v>
      </c>
      <c r="Q4" t="s">
        <v>146</v>
      </c>
      <c r="R4" t="s">
        <v>139</v>
      </c>
      <c r="S4" t="s">
        <v>139</v>
      </c>
      <c r="T4" t="s">
        <v>147</v>
      </c>
      <c r="U4" t="s">
        <v>148</v>
      </c>
      <c r="V4" t="s">
        <v>139</v>
      </c>
      <c r="W4" t="s">
        <v>149</v>
      </c>
      <c r="X4" t="s">
        <v>146</v>
      </c>
      <c r="Y4" t="s">
        <v>150</v>
      </c>
      <c r="Z4" t="s">
        <v>139</v>
      </c>
      <c r="AA4" t="s">
        <v>139</v>
      </c>
      <c r="AB4" t="s">
        <v>139</v>
      </c>
      <c r="AC4" t="s">
        <v>138</v>
      </c>
      <c r="AD4" t="s">
        <v>144</v>
      </c>
      <c r="AE4" t="s">
        <v>139</v>
      </c>
      <c r="AF4" t="s">
        <v>151</v>
      </c>
      <c r="AG4" t="s">
        <v>152</v>
      </c>
      <c r="AH4" t="s">
        <v>151</v>
      </c>
      <c r="AI4" t="s">
        <v>144</v>
      </c>
      <c r="AJ4" t="s">
        <v>139</v>
      </c>
      <c r="AK4" t="s">
        <v>139</v>
      </c>
      <c r="AL4" t="s">
        <v>138</v>
      </c>
      <c r="AM4" t="s">
        <v>147</v>
      </c>
      <c r="AN4" t="s">
        <v>149</v>
      </c>
      <c r="AO4" t="s">
        <v>142</v>
      </c>
      <c r="AP4" t="s">
        <v>153</v>
      </c>
      <c r="AQ4" t="s">
        <v>154</v>
      </c>
      <c r="AR4" t="s">
        <v>155</v>
      </c>
      <c r="AS4" t="s">
        <v>138</v>
      </c>
      <c r="AT4" t="s">
        <v>156</v>
      </c>
      <c r="AU4" t="s">
        <v>138</v>
      </c>
      <c r="AV4" t="s">
        <v>138</v>
      </c>
      <c r="AW4" t="s">
        <v>138</v>
      </c>
      <c r="AX4" t="s">
        <v>138</v>
      </c>
      <c r="AY4" t="s">
        <v>139</v>
      </c>
      <c r="AZ4" t="s">
        <v>139</v>
      </c>
    </row>
    <row r="5" spans="1:52" x14ac:dyDescent="0.25">
      <c r="A5" t="s">
        <v>157</v>
      </c>
    </row>
    <row r="7" spans="1:52" x14ac:dyDescent="0.25">
      <c r="A7" t="s">
        <v>55</v>
      </c>
    </row>
    <row r="8" spans="1:52" x14ac:dyDescent="0.25">
      <c r="A8" t="s">
        <v>158</v>
      </c>
      <c r="B8">
        <v>0.3</v>
      </c>
      <c r="C8">
        <v>83307</v>
      </c>
      <c r="D8">
        <v>22</v>
      </c>
      <c r="E8">
        <v>2.2999999999999998</v>
      </c>
      <c r="F8" t="s">
        <v>57</v>
      </c>
      <c r="G8">
        <v>373.1</v>
      </c>
      <c r="H8">
        <v>1.52</v>
      </c>
      <c r="I8">
        <v>1.1399999999999999</v>
      </c>
      <c r="J8">
        <v>0.2</v>
      </c>
      <c r="K8">
        <v>0.04</v>
      </c>
      <c r="L8">
        <v>0.16</v>
      </c>
      <c r="M8">
        <v>5941</v>
      </c>
      <c r="N8">
        <v>0.08</v>
      </c>
      <c r="O8" t="s">
        <v>57</v>
      </c>
      <c r="P8">
        <v>8.9</v>
      </c>
      <c r="Q8" t="s">
        <v>159</v>
      </c>
      <c r="R8">
        <v>22</v>
      </c>
      <c r="S8">
        <v>19</v>
      </c>
      <c r="T8">
        <v>144</v>
      </c>
      <c r="U8">
        <v>661</v>
      </c>
      <c r="V8">
        <v>2.57</v>
      </c>
      <c r="W8">
        <v>1.2</v>
      </c>
      <c r="X8">
        <v>1</v>
      </c>
      <c r="Y8">
        <v>39</v>
      </c>
      <c r="Z8">
        <v>20213</v>
      </c>
      <c r="AA8">
        <v>3052</v>
      </c>
      <c r="AB8">
        <v>407</v>
      </c>
      <c r="AC8">
        <v>11.7</v>
      </c>
      <c r="AD8">
        <v>4</v>
      </c>
      <c r="AE8">
        <v>12248</v>
      </c>
      <c r="AF8">
        <v>0</v>
      </c>
      <c r="AG8">
        <v>10.199999999999999</v>
      </c>
      <c r="AH8">
        <v>0</v>
      </c>
      <c r="AI8">
        <v>-18</v>
      </c>
      <c r="AJ8">
        <v>12</v>
      </c>
      <c r="AK8">
        <v>248</v>
      </c>
      <c r="AL8">
        <v>15.7</v>
      </c>
      <c r="AM8">
        <v>9.5</v>
      </c>
      <c r="AN8">
        <v>4.5</v>
      </c>
      <c r="AO8">
        <v>0.12</v>
      </c>
      <c r="AP8">
        <v>8.5000000000000006E-2</v>
      </c>
      <c r="AQ8" t="s">
        <v>57</v>
      </c>
      <c r="AR8">
        <v>0.03</v>
      </c>
      <c r="AS8">
        <v>0.55000000000000004</v>
      </c>
      <c r="AT8">
        <v>0.18</v>
      </c>
      <c r="AU8">
        <v>0.6</v>
      </c>
      <c r="AV8">
        <v>95.12</v>
      </c>
      <c r="AW8">
        <v>4.05</v>
      </c>
      <c r="AX8">
        <v>1.69</v>
      </c>
      <c r="AY8">
        <v>57</v>
      </c>
      <c r="AZ8">
        <v>57</v>
      </c>
    </row>
    <row r="9" spans="1:52" x14ac:dyDescent="0.25">
      <c r="A9" t="s">
        <v>160</v>
      </c>
      <c r="B9">
        <v>0.2</v>
      </c>
      <c r="C9">
        <v>71328</v>
      </c>
      <c r="D9">
        <v>41</v>
      </c>
      <c r="E9">
        <v>1.5</v>
      </c>
      <c r="F9" t="s">
        <v>57</v>
      </c>
      <c r="G9">
        <v>407.1</v>
      </c>
      <c r="H9">
        <v>1.3</v>
      </c>
      <c r="I9">
        <v>1.67</v>
      </c>
      <c r="J9">
        <v>0.31</v>
      </c>
      <c r="K9">
        <v>0.03</v>
      </c>
      <c r="L9">
        <v>0.28000000000000003</v>
      </c>
      <c r="M9">
        <v>9405</v>
      </c>
      <c r="N9">
        <v>0.08</v>
      </c>
      <c r="O9" t="s">
        <v>57</v>
      </c>
      <c r="P9">
        <v>8.1999999999999993</v>
      </c>
      <c r="Q9" t="s">
        <v>159</v>
      </c>
      <c r="R9">
        <v>30</v>
      </c>
      <c r="S9">
        <v>17</v>
      </c>
      <c r="T9">
        <v>114</v>
      </c>
      <c r="U9">
        <v>728</v>
      </c>
      <c r="V9">
        <v>2.14</v>
      </c>
      <c r="W9">
        <v>1.3</v>
      </c>
      <c r="X9">
        <v>1</v>
      </c>
      <c r="Y9">
        <v>62</v>
      </c>
      <c r="Z9">
        <v>19346</v>
      </c>
      <c r="AA9">
        <v>4946</v>
      </c>
      <c r="AB9">
        <v>320</v>
      </c>
      <c r="AC9">
        <v>34.4</v>
      </c>
      <c r="AD9">
        <v>6</v>
      </c>
      <c r="AE9">
        <v>15792</v>
      </c>
      <c r="AF9">
        <v>0</v>
      </c>
      <c r="AG9">
        <v>10.6</v>
      </c>
      <c r="AH9">
        <v>0</v>
      </c>
      <c r="AI9">
        <v>-35</v>
      </c>
      <c r="AJ9">
        <v>19</v>
      </c>
      <c r="AK9">
        <v>249</v>
      </c>
      <c r="AL9">
        <v>12.1</v>
      </c>
      <c r="AM9">
        <v>9.6999999999999993</v>
      </c>
      <c r="AN9">
        <v>4.5</v>
      </c>
      <c r="AO9">
        <v>0.19</v>
      </c>
      <c r="AP9">
        <v>0.13</v>
      </c>
      <c r="AQ9">
        <v>0.01</v>
      </c>
      <c r="AR9">
        <v>0.05</v>
      </c>
      <c r="AS9">
        <v>0.69</v>
      </c>
      <c r="AT9">
        <v>0.2</v>
      </c>
      <c r="AU9">
        <v>0.4</v>
      </c>
      <c r="AV9">
        <v>155.44</v>
      </c>
      <c r="AW9">
        <v>3.11</v>
      </c>
      <c r="AX9">
        <v>1.54</v>
      </c>
      <c r="AY9">
        <v>49</v>
      </c>
      <c r="AZ9">
        <v>58</v>
      </c>
    </row>
    <row r="11" spans="1:52" x14ac:dyDescent="0.25">
      <c r="A11" t="s">
        <v>60</v>
      </c>
    </row>
    <row r="12" spans="1:52" x14ac:dyDescent="0.25">
      <c r="A12" t="s">
        <v>161</v>
      </c>
      <c r="F12">
        <v>508</v>
      </c>
    </row>
    <row r="13" spans="1:52" x14ac:dyDescent="0.25">
      <c r="A13" t="s">
        <v>162</v>
      </c>
      <c r="U13">
        <v>2556</v>
      </c>
    </row>
    <row r="14" spans="1:52" x14ac:dyDescent="0.25">
      <c r="A14" t="s">
        <v>163</v>
      </c>
      <c r="O14">
        <v>0.31</v>
      </c>
    </row>
    <row r="15" spans="1:52" x14ac:dyDescent="0.25">
      <c r="A15" t="s">
        <v>164</v>
      </c>
      <c r="AT15">
        <v>0.65</v>
      </c>
    </row>
    <row r="16" spans="1:52" x14ac:dyDescent="0.25">
      <c r="A16" t="s">
        <v>165</v>
      </c>
      <c r="AT16">
        <v>0.11</v>
      </c>
    </row>
    <row r="17" spans="1:52" x14ac:dyDescent="0.25">
      <c r="A17" t="s">
        <v>166</v>
      </c>
      <c r="AT17">
        <v>0.99</v>
      </c>
    </row>
    <row r="18" spans="1:52" x14ac:dyDescent="0.25">
      <c r="A18" t="s">
        <v>167</v>
      </c>
      <c r="K18">
        <v>0.19</v>
      </c>
    </row>
    <row r="19" spans="1:52" x14ac:dyDescent="0.25">
      <c r="A19" t="s">
        <v>168</v>
      </c>
      <c r="AQ19">
        <v>4.28</v>
      </c>
    </row>
    <row r="20" spans="1:52" x14ac:dyDescent="0.25">
      <c r="A20" t="s">
        <v>168</v>
      </c>
      <c r="AR20">
        <v>4.3600000000000003</v>
      </c>
    </row>
    <row r="21" spans="1:52" x14ac:dyDescent="0.25">
      <c r="A21" t="s">
        <v>169</v>
      </c>
      <c r="Y21">
        <v>1507</v>
      </c>
    </row>
    <row r="22" spans="1:52" x14ac:dyDescent="0.25">
      <c r="A22" t="s">
        <v>170</v>
      </c>
      <c r="B22">
        <v>10.3</v>
      </c>
      <c r="C22">
        <v>71653</v>
      </c>
      <c r="E22">
        <v>671.4</v>
      </c>
      <c r="G22">
        <v>1638.9</v>
      </c>
      <c r="H22">
        <v>1.46</v>
      </c>
      <c r="I22">
        <v>7.4</v>
      </c>
      <c r="M22">
        <v>15459</v>
      </c>
      <c r="N22">
        <v>12.87</v>
      </c>
      <c r="P22">
        <v>5.6</v>
      </c>
      <c r="R22">
        <v>18</v>
      </c>
      <c r="S22">
        <v>361</v>
      </c>
      <c r="V22">
        <v>8.33</v>
      </c>
      <c r="Z22">
        <v>31000</v>
      </c>
      <c r="AA22">
        <v>10702</v>
      </c>
      <c r="AB22" t="s">
        <v>171</v>
      </c>
      <c r="AC22">
        <v>10.5</v>
      </c>
      <c r="AE22">
        <v>5388</v>
      </c>
      <c r="AJ22">
        <v>11</v>
      </c>
      <c r="AK22">
        <v>452</v>
      </c>
      <c r="AL22">
        <v>2727.6</v>
      </c>
      <c r="AS22">
        <v>42.93</v>
      </c>
      <c r="AU22">
        <v>3</v>
      </c>
      <c r="AV22">
        <v>131.81</v>
      </c>
      <c r="AW22">
        <v>9.2200000000000006</v>
      </c>
      <c r="AX22">
        <v>6.54</v>
      </c>
      <c r="AY22">
        <v>46</v>
      </c>
      <c r="AZ22">
        <v>5358</v>
      </c>
    </row>
    <row r="23" spans="1:52" x14ac:dyDescent="0.25">
      <c r="A23" t="s">
        <v>172</v>
      </c>
      <c r="B23">
        <v>1</v>
      </c>
      <c r="C23">
        <v>12817</v>
      </c>
      <c r="E23">
        <v>159.80000000000001</v>
      </c>
      <c r="G23">
        <v>86.6</v>
      </c>
      <c r="H23">
        <v>0.42</v>
      </c>
      <c r="I23">
        <v>1.05</v>
      </c>
      <c r="M23">
        <v>929</v>
      </c>
      <c r="N23">
        <v>0.42</v>
      </c>
      <c r="P23">
        <v>37.9</v>
      </c>
      <c r="R23">
        <v>346</v>
      </c>
      <c r="S23">
        <v>59</v>
      </c>
      <c r="V23">
        <v>2.48</v>
      </c>
      <c r="Z23">
        <v>4257</v>
      </c>
      <c r="AA23">
        <v>1452</v>
      </c>
      <c r="AB23">
        <v>186</v>
      </c>
      <c r="AC23">
        <v>3.5</v>
      </c>
      <c r="AE23">
        <v>610</v>
      </c>
      <c r="AJ23">
        <v>97</v>
      </c>
      <c r="AK23">
        <v>135</v>
      </c>
      <c r="AL23">
        <v>249.9</v>
      </c>
      <c r="AS23">
        <v>6.05</v>
      </c>
      <c r="AU23">
        <v>1.2</v>
      </c>
      <c r="AV23">
        <v>19.170000000000002</v>
      </c>
      <c r="AW23">
        <v>49.85</v>
      </c>
      <c r="AX23">
        <v>455.6</v>
      </c>
      <c r="AY23">
        <v>58</v>
      </c>
      <c r="AZ23">
        <v>166</v>
      </c>
    </row>
    <row r="24" spans="1:52" x14ac:dyDescent="0.25">
      <c r="A24" t="s">
        <v>173</v>
      </c>
      <c r="B24">
        <v>0.9</v>
      </c>
      <c r="C24">
        <v>85372</v>
      </c>
      <c r="E24">
        <v>58.2</v>
      </c>
      <c r="G24">
        <v>699</v>
      </c>
      <c r="H24">
        <v>1.93</v>
      </c>
      <c r="I24">
        <v>1.71</v>
      </c>
      <c r="M24">
        <v>56056</v>
      </c>
      <c r="N24">
        <v>0.14000000000000001</v>
      </c>
      <c r="P24">
        <v>74.900000000000006</v>
      </c>
      <c r="R24">
        <v>8658</v>
      </c>
      <c r="S24">
        <v>2371</v>
      </c>
      <c r="V24">
        <v>8.31</v>
      </c>
      <c r="Z24">
        <v>23449</v>
      </c>
      <c r="AA24">
        <v>28971</v>
      </c>
      <c r="AB24">
        <v>1272</v>
      </c>
      <c r="AC24">
        <v>9.1999999999999993</v>
      </c>
      <c r="AE24">
        <v>17002</v>
      </c>
      <c r="AJ24">
        <v>2269</v>
      </c>
      <c r="AK24">
        <v>1897</v>
      </c>
      <c r="AL24">
        <v>22.5</v>
      </c>
      <c r="AS24">
        <v>2.25</v>
      </c>
      <c r="AU24">
        <v>5.4</v>
      </c>
      <c r="AV24">
        <v>513.41</v>
      </c>
      <c r="AW24">
        <v>10.55</v>
      </c>
      <c r="AX24">
        <v>2.82</v>
      </c>
      <c r="AY24">
        <v>327</v>
      </c>
      <c r="AZ24">
        <v>131</v>
      </c>
    </row>
    <row r="25" spans="1:52" x14ac:dyDescent="0.25">
      <c r="A25" t="s">
        <v>174</v>
      </c>
      <c r="Y25">
        <v>149</v>
      </c>
    </row>
    <row r="26" spans="1:52" x14ac:dyDescent="0.25">
      <c r="A26" t="s">
        <v>175</v>
      </c>
      <c r="Y26" t="s">
        <v>176</v>
      </c>
    </row>
    <row r="27" spans="1:52" x14ac:dyDescent="0.25">
      <c r="A27" t="s">
        <v>167</v>
      </c>
      <c r="Y27" t="s">
        <v>176</v>
      </c>
    </row>
    <row r="28" spans="1:52" x14ac:dyDescent="0.25">
      <c r="A28" t="s">
        <v>177</v>
      </c>
      <c r="AF28">
        <v>25</v>
      </c>
      <c r="AG28">
        <v>2.5</v>
      </c>
      <c r="AH28">
        <v>21</v>
      </c>
    </row>
    <row r="29" spans="1:52" x14ac:dyDescent="0.25">
      <c r="A29" t="s">
        <v>62</v>
      </c>
      <c r="T29">
        <v>334</v>
      </c>
      <c r="AM29">
        <v>9.1</v>
      </c>
    </row>
    <row r="30" spans="1:52" x14ac:dyDescent="0.25">
      <c r="A30" t="s">
        <v>178</v>
      </c>
      <c r="J30">
        <v>0.23</v>
      </c>
      <c r="AD30">
        <v>9</v>
      </c>
      <c r="AO30">
        <v>0.3</v>
      </c>
    </row>
    <row r="31" spans="1:52" x14ac:dyDescent="0.25">
      <c r="A31" t="s">
        <v>179</v>
      </c>
      <c r="D31">
        <v>97</v>
      </c>
      <c r="W31">
        <v>1.3</v>
      </c>
    </row>
    <row r="33" spans="1:52" x14ac:dyDescent="0.25">
      <c r="A33" t="s">
        <v>65</v>
      </c>
    </row>
    <row r="34" spans="1:52" x14ac:dyDescent="0.25">
      <c r="A34" t="s">
        <v>66</v>
      </c>
      <c r="B34" t="s">
        <v>57</v>
      </c>
      <c r="C34" t="s">
        <v>57</v>
      </c>
      <c r="D34">
        <v>0</v>
      </c>
      <c r="E34" t="s">
        <v>57</v>
      </c>
      <c r="F34" t="s">
        <v>57</v>
      </c>
      <c r="G34" t="s">
        <v>57</v>
      </c>
      <c r="H34" t="s">
        <v>57</v>
      </c>
      <c r="I34" t="s">
        <v>57</v>
      </c>
      <c r="J34" t="s">
        <v>57</v>
      </c>
      <c r="K34" t="s">
        <v>57</v>
      </c>
      <c r="M34" t="s">
        <v>57</v>
      </c>
      <c r="N34" t="s">
        <v>57</v>
      </c>
      <c r="O34" t="s">
        <v>57</v>
      </c>
      <c r="P34" t="s">
        <v>57</v>
      </c>
      <c r="R34" t="s">
        <v>57</v>
      </c>
      <c r="S34" t="s">
        <v>57</v>
      </c>
      <c r="T34" t="s">
        <v>57</v>
      </c>
      <c r="U34" t="s">
        <v>57</v>
      </c>
      <c r="V34" t="s">
        <v>57</v>
      </c>
      <c r="W34">
        <v>1.1000000000000001</v>
      </c>
      <c r="Y34" t="s">
        <v>57</v>
      </c>
      <c r="Z34" t="s">
        <v>57</v>
      </c>
      <c r="AA34" t="s">
        <v>57</v>
      </c>
      <c r="AB34" t="s">
        <v>57</v>
      </c>
      <c r="AC34" t="s">
        <v>57</v>
      </c>
      <c r="AD34" t="s">
        <v>57</v>
      </c>
      <c r="AE34" t="s">
        <v>57</v>
      </c>
      <c r="AF34">
        <v>7</v>
      </c>
      <c r="AG34">
        <v>5</v>
      </c>
      <c r="AH34">
        <v>0</v>
      </c>
      <c r="AJ34" t="s">
        <v>57</v>
      </c>
      <c r="AK34" t="s">
        <v>57</v>
      </c>
      <c r="AL34" t="s">
        <v>57</v>
      </c>
      <c r="AM34">
        <v>5.7</v>
      </c>
      <c r="AO34" t="s">
        <v>57</v>
      </c>
      <c r="AQ34" t="s">
        <v>57</v>
      </c>
      <c r="AR34" t="s">
        <v>57</v>
      </c>
      <c r="AS34" t="s">
        <v>57</v>
      </c>
      <c r="AT34" t="s">
        <v>57</v>
      </c>
      <c r="AU34" t="s">
        <v>57</v>
      </c>
      <c r="AV34" t="s">
        <v>57</v>
      </c>
      <c r="AW34" t="s">
        <v>57</v>
      </c>
      <c r="AX34" t="s">
        <v>57</v>
      </c>
      <c r="AY34" t="s">
        <v>57</v>
      </c>
      <c r="AZ34">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Liquor data</vt:lpstr>
      <vt:lpstr>2128731 RAW</vt:lpstr>
      <vt:lpstr>Solid data</vt:lpstr>
      <vt:lpstr>2128607 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Cinanni, Hannah (Perth)</dc:creator>
  <cp:lastModifiedBy>Walker, Alex (Perth)</cp:lastModifiedBy>
  <dcterms:created xsi:type="dcterms:W3CDTF">2022-04-07T06:26:09Z</dcterms:created>
  <dcterms:modified xsi:type="dcterms:W3CDTF">2022-04-25T07:37:57Z</dcterms:modified>
</cp:coreProperties>
</file>