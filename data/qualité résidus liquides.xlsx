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E\Thèse nouveau\données organisées\"/>
    </mc:Choice>
  </mc:AlternateContent>
  <xr:revisionPtr revIDLastSave="0" documentId="13_ncr:1_{791317CB-CCA1-4A93-AE26-49023826B542}" xr6:coauthVersionLast="47" xr6:coauthVersionMax="47" xr10:uidLastSave="{00000000-0000-0000-0000-000000000000}"/>
  <bookViews>
    <workbookView xWindow="-110" yWindow="-110" windowWidth="19420" windowHeight="10300" activeTab="2" xr2:uid="{F83AF838-670F-4C49-8515-1DAD59B6286A}"/>
  </bookViews>
  <sheets>
    <sheet name="ETM" sheetId="1" r:id="rId1"/>
    <sheet name="physico-chimie" sheetId="2" r:id="rId2"/>
    <sheet name="résidus solid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3" l="1"/>
  <c r="F20" i="3"/>
  <c r="G20" i="3"/>
</calcChain>
</file>

<file path=xl/sharedStrings.xml><?xml version="1.0" encoding="utf-8"?>
<sst xmlns="http://schemas.openxmlformats.org/spreadsheetml/2006/main" count="366" uniqueCount="205">
  <si>
    <t>Paramètres</t>
  </si>
  <si>
    <t>Aluminium</t>
  </si>
  <si>
    <t>Antimoine</t>
  </si>
  <si>
    <t>Arsenic</t>
  </si>
  <si>
    <t>Baryum</t>
  </si>
  <si>
    <t>Bore</t>
  </si>
  <si>
    <t>Cadmium</t>
  </si>
  <si>
    <t>Calcium</t>
  </si>
  <si>
    <t xml:space="preserve">Chrome </t>
  </si>
  <si>
    <t>Chromiun VI</t>
  </si>
  <si>
    <t>Cobalt</t>
  </si>
  <si>
    <t>Cuivre</t>
  </si>
  <si>
    <t>Le fer</t>
  </si>
  <si>
    <t>Plomb</t>
  </si>
  <si>
    <t>Magnésium</t>
  </si>
  <si>
    <t>Manganèse</t>
  </si>
  <si>
    <t>Mercure</t>
  </si>
  <si>
    <t>Molybdène</t>
  </si>
  <si>
    <t>Nickel</t>
  </si>
  <si>
    <t>Phosphore</t>
  </si>
  <si>
    <t>Potassium</t>
  </si>
  <si>
    <t>Sélénium</t>
  </si>
  <si>
    <t>Argent</t>
  </si>
  <si>
    <t>Sodium</t>
  </si>
  <si>
    <t>Strontium</t>
  </si>
  <si>
    <t>Soufre</t>
  </si>
  <si>
    <t>Etain</t>
  </si>
  <si>
    <t>Uranium</t>
  </si>
  <si>
    <t>Vanadium</t>
  </si>
  <si>
    <t>Zinc</t>
  </si>
  <si>
    <t>Unités</t>
  </si>
  <si>
    <t>mg/L</t>
  </si>
  <si>
    <t>RMW1</t>
  </si>
  <si>
    <t>0.15</t>
  </si>
  <si>
    <t>&lt;0.01</t>
  </si>
  <si>
    <t>0.026</t>
  </si>
  <si>
    <t>0.085</t>
  </si>
  <si>
    <t>&lt;0.001</t>
  </si>
  <si>
    <t>&lt;0.002</t>
  </si>
  <si>
    <t>&lt;0.02</t>
  </si>
  <si>
    <t>0.36</t>
  </si>
  <si>
    <t>2.8</t>
  </si>
  <si>
    <t>1.1</t>
  </si>
  <si>
    <t>0.77</t>
  </si>
  <si>
    <t>0.02</t>
  </si>
  <si>
    <t>0.0003</t>
  </si>
  <si>
    <t>1.7</t>
  </si>
  <si>
    <t>0.48</t>
  </si>
  <si>
    <t>&lt;0.03</t>
  </si>
  <si>
    <t>0.19</t>
  </si>
  <si>
    <t>0.043</t>
  </si>
  <si>
    <t>RMW2</t>
  </si>
  <si>
    <t>0.16</t>
  </si>
  <si>
    <t>0.082</t>
  </si>
  <si>
    <t>0.33</t>
  </si>
  <si>
    <t>3.4</t>
  </si>
  <si>
    <t>1.6</t>
  </si>
  <si>
    <t>0.20</t>
  </si>
  <si>
    <t>0.051</t>
  </si>
  <si>
    <t>RMW3</t>
  </si>
  <si>
    <t>0.11</t>
  </si>
  <si>
    <t>0.028</t>
  </si>
  <si>
    <t>0.063</t>
  </si>
  <si>
    <t>1.5</t>
  </si>
  <si>
    <t>0.91</t>
  </si>
  <si>
    <t>0.01</t>
  </si>
  <si>
    <t>0.0002</t>
  </si>
  <si>
    <t>0.40</t>
  </si>
  <si>
    <t>0.22</t>
  </si>
  <si>
    <t>0.033</t>
  </si>
  <si>
    <t>0.21</t>
  </si>
  <si>
    <t>Normes sur les effluents au Burkina Faso (2001)</t>
  </si>
  <si>
    <t>0.1</t>
  </si>
  <si>
    <t>5.0</t>
  </si>
  <si>
    <t>2.0</t>
  </si>
  <si>
    <t>0.5</t>
  </si>
  <si>
    <t>1.0</t>
  </si>
  <si>
    <t>1.2</t>
  </si>
  <si>
    <t>50.0</t>
  </si>
  <si>
    <t>0.8</t>
  </si>
  <si>
    <t>Lignes directrices de la SFI sur les effluents (SFI)</t>
  </si>
  <si>
    <t>0.05</t>
  </si>
  <si>
    <t>-</t>
  </si>
  <si>
    <t>0.3</t>
  </si>
  <si>
    <t>0.2</t>
  </si>
  <si>
    <t>0.002</t>
  </si>
  <si>
    <t>Lignes directrices de la SFI sur les effluents</t>
  </si>
  <si>
    <t>pH</t>
  </si>
  <si>
    <t>9.4</t>
  </si>
  <si>
    <t>9.5</t>
  </si>
  <si>
    <t>6.4 - 10.5</t>
  </si>
  <si>
    <t xml:space="preserve">6.0 - 9.0 </t>
  </si>
  <si>
    <t>Conductivité électrique</t>
  </si>
  <si>
    <t>mS/m</t>
  </si>
  <si>
    <t>TDS</t>
  </si>
  <si>
    <t>Chlorure</t>
  </si>
  <si>
    <t>Sulfate</t>
  </si>
  <si>
    <t>Fluorure</t>
  </si>
  <si>
    <t>2.5</t>
  </si>
  <si>
    <t>2.3</t>
  </si>
  <si>
    <t>Nitrate en tant que N</t>
  </si>
  <si>
    <t>9.9</t>
  </si>
  <si>
    <t>9.8</t>
  </si>
  <si>
    <t>Nitrite en tant que N</t>
  </si>
  <si>
    <t>Ammoniac sous forme de N</t>
  </si>
  <si>
    <t>4.6</t>
  </si>
  <si>
    <t>%</t>
  </si>
  <si>
    <t>S-SO4</t>
  </si>
  <si>
    <t>ppm</t>
  </si>
  <si>
    <t>F</t>
  </si>
  <si>
    <t>Fluoride</t>
  </si>
  <si>
    <t>Na</t>
  </si>
  <si>
    <t>K</t>
  </si>
  <si>
    <t>Mg</t>
  </si>
  <si>
    <t>Magnesium</t>
  </si>
  <si>
    <t>Ca</t>
  </si>
  <si>
    <t>Major Ions</t>
  </si>
  <si>
    <t>C-CO3</t>
  </si>
  <si>
    <t>Carbonate</t>
  </si>
  <si>
    <t>S</t>
  </si>
  <si>
    <t>Sulfur</t>
  </si>
  <si>
    <r>
      <t>kg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/t</t>
    </r>
  </si>
  <si>
    <t>NAPP</t>
  </si>
  <si>
    <t>Net Acid Producing Potential</t>
  </si>
  <si>
    <t>NAG(4.5)</t>
  </si>
  <si>
    <t>Net Acid Generation (4.5)</t>
  </si>
  <si>
    <t>NONE</t>
  </si>
  <si>
    <t>NAGpH</t>
  </si>
  <si>
    <t>Net Acid Generation (pH)</t>
  </si>
  <si>
    <t>NAG</t>
  </si>
  <si>
    <t>Net Acid Generation</t>
  </si>
  <si>
    <t>MPA</t>
  </si>
  <si>
    <t>Maximum Potential Acidity</t>
  </si>
  <si>
    <t>ANC</t>
  </si>
  <si>
    <t>Acid Neutralising Capacity</t>
  </si>
  <si>
    <t>N/A</t>
  </si>
  <si>
    <t>Final-pH</t>
  </si>
  <si>
    <t>pH (final)</t>
  </si>
  <si>
    <t>pH Drop</t>
  </si>
  <si>
    <t>pH (drop)</t>
  </si>
  <si>
    <t>Acid Mine Drainage Parameter</t>
  </si>
  <si>
    <t>C-Acinsol</t>
  </si>
  <si>
    <t>Carbon (Acinsol)</t>
  </si>
  <si>
    <t>C</t>
  </si>
  <si>
    <t>Carbon</t>
  </si>
  <si>
    <t>Organics</t>
  </si>
  <si>
    <t>P</t>
  </si>
  <si>
    <t>Phosphorus</t>
  </si>
  <si>
    <t>Nutrients</t>
  </si>
  <si>
    <t>Zn</t>
  </si>
  <si>
    <t>V</t>
  </si>
  <si>
    <t>U</t>
  </si>
  <si>
    <t>Sn</t>
  </si>
  <si>
    <t>Tin</t>
  </si>
  <si>
    <t>Th</t>
  </si>
  <si>
    <t>Thorium</t>
  </si>
  <si>
    <t>Sr</t>
  </si>
  <si>
    <t>Ag</t>
  </si>
  <si>
    <t>Silver</t>
  </si>
  <si>
    <t>Se</t>
  </si>
  <si>
    <t>Selenium</t>
  </si>
  <si>
    <t>Ni</t>
  </si>
  <si>
    <t>Mo</t>
  </si>
  <si>
    <t>Molybdenum</t>
  </si>
  <si>
    <t>Hg</t>
  </si>
  <si>
    <t>Mercury</t>
  </si>
  <si>
    <t>Mn</t>
  </si>
  <si>
    <t>Manganese</t>
  </si>
  <si>
    <t>Pb</t>
  </si>
  <si>
    <t>Lead</t>
  </si>
  <si>
    <t>Fe</t>
  </si>
  <si>
    <t>Iron (sol)</t>
  </si>
  <si>
    <t>Cu</t>
  </si>
  <si>
    <t>Copper</t>
  </si>
  <si>
    <t>Co</t>
  </si>
  <si>
    <t>Cr</t>
  </si>
  <si>
    <t>Chromium</t>
  </si>
  <si>
    <t>Cd</t>
  </si>
  <si>
    <t>Bi</t>
  </si>
  <si>
    <t>Bismuth</t>
  </si>
  <si>
    <t>Be</t>
  </si>
  <si>
    <t>Beryllium</t>
  </si>
  <si>
    <t>Ba</t>
  </si>
  <si>
    <t>Barium</t>
  </si>
  <si>
    <t>As</t>
  </si>
  <si>
    <t>Sb</t>
  </si>
  <si>
    <t>Antimony</t>
  </si>
  <si>
    <t>Al</t>
  </si>
  <si>
    <t>Metals and metalloids</t>
  </si>
  <si>
    <t>Fizz-Rate</t>
  </si>
  <si>
    <t>Fizz Rate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</si>
  <si>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S/cm</t>
    </r>
  </si>
  <si>
    <t>EC</t>
  </si>
  <si>
    <t>Electrical Conductivity</t>
  </si>
  <si>
    <t>Yes</t>
  </si>
  <si>
    <t>ColourChange</t>
  </si>
  <si>
    <t>Colour Change</t>
  </si>
  <si>
    <t>Physiochemical parameters</t>
  </si>
  <si>
    <t>LOR</t>
  </si>
  <si>
    <t>Units</t>
  </si>
  <si>
    <t>Symbol</t>
  </si>
  <si>
    <t>Analyte</t>
  </si>
  <si>
    <t>Analyte Group</t>
  </si>
  <si>
    <t>RMW4</t>
  </si>
  <si>
    <t>RMW5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</si>
</sst>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FEAF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3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6" borderId="1" xfId="0" applyFont="1" applyFill="1" applyBorder="1" applyAlignment="1">
      <alignment horizontal="center" vertical="center" wrapText="1" readingOrder="1"/>
    </xf>
    <xf numFmtId="0" fontId="5" fillId="4" borderId="1" xfId="0" applyFont="1" applyFill="1" applyBorder="1" applyAlignment="1">
      <alignment horizontal="center" vertical="center" wrapText="1" readingOrder="1"/>
    </xf>
    <xf numFmtId="0" fontId="5" fillId="5" borderId="1" xfId="0" applyFont="1" applyFill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left" vertical="center" wrapText="1" readingOrder="1"/>
    </xf>
    <xf numFmtId="0" fontId="5" fillId="7" borderId="1" xfId="0" applyFont="1" applyFill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left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8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10" borderId="8" xfId="0" applyFont="1" applyFill="1" applyBorder="1" applyAlignment="1">
      <alignment horizontal="center" vertical="center" wrapText="1"/>
    </xf>
    <xf numFmtId="0" fontId="1" fillId="10" borderId="15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vertical="center"/>
    </xf>
    <xf numFmtId="0" fontId="1" fillId="10" borderId="15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9BCE-46A5-4DDB-8DED-DCBF9125D8D9}">
  <dimension ref="A1:AD7"/>
  <sheetViews>
    <sheetView workbookViewId="0">
      <selection activeCell="F10" sqref="F10"/>
    </sheetView>
  </sheetViews>
  <sheetFormatPr baseColWidth="10" defaultRowHeight="14.5" x14ac:dyDescent="0.35"/>
  <sheetData>
    <row r="1" spans="1:30" ht="15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ht="15" thickBot="1" x14ac:dyDescent="0.4">
      <c r="A2" s="1" t="s">
        <v>30</v>
      </c>
      <c r="B2" s="4" t="s">
        <v>31</v>
      </c>
      <c r="C2" s="4" t="s">
        <v>31</v>
      </c>
      <c r="D2" s="4" t="s">
        <v>31</v>
      </c>
      <c r="E2" s="4" t="s">
        <v>31</v>
      </c>
      <c r="F2" s="4" t="s">
        <v>31</v>
      </c>
      <c r="G2" s="4" t="s">
        <v>31</v>
      </c>
      <c r="H2" s="4" t="s">
        <v>31</v>
      </c>
      <c r="I2" s="4"/>
      <c r="J2" s="4" t="s">
        <v>31</v>
      </c>
      <c r="K2" s="4" t="s">
        <v>31</v>
      </c>
      <c r="L2" s="4" t="s">
        <v>31</v>
      </c>
      <c r="M2" s="4" t="s">
        <v>31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 t="s">
        <v>31</v>
      </c>
      <c r="U2" s="4" t="s">
        <v>31</v>
      </c>
      <c r="V2" s="4" t="s">
        <v>31</v>
      </c>
      <c r="W2" s="4" t="s">
        <v>31</v>
      </c>
      <c r="X2" s="4" t="s">
        <v>31</v>
      </c>
      <c r="Y2" s="4" t="s">
        <v>31</v>
      </c>
      <c r="Z2" s="4" t="s">
        <v>31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0" ht="15" thickBot="1" x14ac:dyDescent="0.4">
      <c r="A3" s="5" t="s">
        <v>32</v>
      </c>
      <c r="B3" s="4" t="s">
        <v>33</v>
      </c>
      <c r="C3" s="4" t="s">
        <v>34</v>
      </c>
      <c r="D3" s="4" t="s">
        <v>34</v>
      </c>
      <c r="E3" s="4" t="s">
        <v>35</v>
      </c>
      <c r="F3" s="4" t="s">
        <v>36</v>
      </c>
      <c r="G3" s="4" t="s">
        <v>37</v>
      </c>
      <c r="H3" s="4">
        <v>44</v>
      </c>
      <c r="I3" s="4" t="s">
        <v>38</v>
      </c>
      <c r="J3" s="4" t="s">
        <v>39</v>
      </c>
      <c r="K3" s="4" t="s">
        <v>40</v>
      </c>
      <c r="L3" s="6" t="s">
        <v>41</v>
      </c>
      <c r="M3" s="4" t="s">
        <v>42</v>
      </c>
      <c r="N3" s="4" t="s">
        <v>34</v>
      </c>
      <c r="O3" s="4" t="s">
        <v>43</v>
      </c>
      <c r="P3" s="4" t="s">
        <v>44</v>
      </c>
      <c r="Q3" s="4" t="s">
        <v>45</v>
      </c>
      <c r="R3" s="6" t="s">
        <v>46</v>
      </c>
      <c r="S3" s="4" t="s">
        <v>47</v>
      </c>
      <c r="T3" s="4" t="s">
        <v>48</v>
      </c>
      <c r="U3" s="4">
        <v>10</v>
      </c>
      <c r="V3" s="4" t="s">
        <v>34</v>
      </c>
      <c r="W3" s="4" t="s">
        <v>38</v>
      </c>
      <c r="X3" s="4">
        <v>162</v>
      </c>
      <c r="Y3" s="4" t="s">
        <v>49</v>
      </c>
      <c r="Z3" s="4">
        <v>73</v>
      </c>
      <c r="AA3" s="4" t="s">
        <v>34</v>
      </c>
      <c r="AB3" s="4" t="s">
        <v>34</v>
      </c>
      <c r="AC3" s="4" t="s">
        <v>50</v>
      </c>
      <c r="AD3" s="4" t="s">
        <v>33</v>
      </c>
    </row>
    <row r="4" spans="1:30" ht="15" thickBot="1" x14ac:dyDescent="0.4">
      <c r="A4" s="5" t="s">
        <v>51</v>
      </c>
      <c r="B4" s="4" t="s">
        <v>52</v>
      </c>
      <c r="C4" s="4" t="s">
        <v>34</v>
      </c>
      <c r="D4" s="4" t="s">
        <v>34</v>
      </c>
      <c r="E4" s="4" t="s">
        <v>35</v>
      </c>
      <c r="F4" s="4" t="s">
        <v>53</v>
      </c>
      <c r="G4" s="4" t="s">
        <v>37</v>
      </c>
      <c r="H4" s="4">
        <v>43</v>
      </c>
      <c r="I4" s="4" t="s">
        <v>38</v>
      </c>
      <c r="J4" s="4" t="s">
        <v>39</v>
      </c>
      <c r="K4" s="4" t="s">
        <v>54</v>
      </c>
      <c r="L4" s="6" t="s">
        <v>55</v>
      </c>
      <c r="M4" s="4" t="s">
        <v>56</v>
      </c>
      <c r="N4" s="4" t="s">
        <v>34</v>
      </c>
      <c r="O4" s="4" t="s">
        <v>43</v>
      </c>
      <c r="P4" s="4" t="s">
        <v>44</v>
      </c>
      <c r="Q4" s="4" t="s">
        <v>45</v>
      </c>
      <c r="R4" s="6" t="s">
        <v>46</v>
      </c>
      <c r="S4" s="4" t="s">
        <v>47</v>
      </c>
      <c r="T4" s="4" t="s">
        <v>48</v>
      </c>
      <c r="U4" s="4">
        <v>11</v>
      </c>
      <c r="V4" s="4" t="s">
        <v>34</v>
      </c>
      <c r="W4" s="4" t="s">
        <v>38</v>
      </c>
      <c r="X4" s="4">
        <v>162</v>
      </c>
      <c r="Y4" s="4" t="s">
        <v>57</v>
      </c>
      <c r="Z4" s="4">
        <v>76</v>
      </c>
      <c r="AA4" s="4" t="s">
        <v>34</v>
      </c>
      <c r="AB4" s="4" t="s">
        <v>34</v>
      </c>
      <c r="AC4" s="4" t="s">
        <v>58</v>
      </c>
      <c r="AD4" s="4" t="s">
        <v>52</v>
      </c>
    </row>
    <row r="5" spans="1:30" ht="15" thickBot="1" x14ac:dyDescent="0.4">
      <c r="A5" s="5" t="s">
        <v>59</v>
      </c>
      <c r="B5" s="4" t="s">
        <v>60</v>
      </c>
      <c r="C5" s="4" t="s">
        <v>34</v>
      </c>
      <c r="D5" s="4" t="s">
        <v>34</v>
      </c>
      <c r="E5" s="4" t="s">
        <v>61</v>
      </c>
      <c r="F5" s="4" t="s">
        <v>62</v>
      </c>
      <c r="G5" s="4" t="s">
        <v>37</v>
      </c>
      <c r="H5" s="4">
        <v>47</v>
      </c>
      <c r="I5" s="4" t="s">
        <v>38</v>
      </c>
      <c r="J5" s="4" t="s">
        <v>39</v>
      </c>
      <c r="K5" s="4" t="s">
        <v>47</v>
      </c>
      <c r="L5" s="6" t="s">
        <v>63</v>
      </c>
      <c r="M5" s="4" t="s">
        <v>42</v>
      </c>
      <c r="N5" s="4" t="s">
        <v>34</v>
      </c>
      <c r="O5" s="4" t="s">
        <v>64</v>
      </c>
      <c r="P5" s="4" t="s">
        <v>65</v>
      </c>
      <c r="Q5" s="4" t="s">
        <v>66</v>
      </c>
      <c r="R5" s="6" t="s">
        <v>46</v>
      </c>
      <c r="S5" s="4" t="s">
        <v>67</v>
      </c>
      <c r="T5" s="4" t="s">
        <v>48</v>
      </c>
      <c r="U5" s="4">
        <v>11</v>
      </c>
      <c r="V5" s="4" t="s">
        <v>34</v>
      </c>
      <c r="W5" s="4" t="s">
        <v>38</v>
      </c>
      <c r="X5" s="4">
        <v>157</v>
      </c>
      <c r="Y5" s="4" t="s">
        <v>68</v>
      </c>
      <c r="Z5" s="4">
        <v>79</v>
      </c>
      <c r="AA5" s="4" t="s">
        <v>34</v>
      </c>
      <c r="AB5" s="4" t="s">
        <v>34</v>
      </c>
      <c r="AC5" s="4" t="s">
        <v>69</v>
      </c>
      <c r="AD5" s="4" t="s">
        <v>70</v>
      </c>
    </row>
    <row r="6" spans="1:30" ht="52.5" thickBot="1" x14ac:dyDescent="0.4">
      <c r="A6" s="7" t="s">
        <v>71</v>
      </c>
      <c r="B6" s="6">
        <v>10</v>
      </c>
      <c r="C6" s="6" t="s">
        <v>72</v>
      </c>
      <c r="D6" s="6" t="s">
        <v>72</v>
      </c>
      <c r="E6" s="6" t="s">
        <v>73</v>
      </c>
      <c r="F6" s="6" t="s">
        <v>74</v>
      </c>
      <c r="G6" s="6" t="s">
        <v>72</v>
      </c>
      <c r="H6" s="6">
        <v>500</v>
      </c>
      <c r="I6" s="6"/>
      <c r="J6" s="6"/>
      <c r="K6" s="6" t="s">
        <v>75</v>
      </c>
      <c r="L6" s="6" t="s">
        <v>76</v>
      </c>
      <c r="M6" s="6">
        <v>20</v>
      </c>
      <c r="N6" s="6" t="s">
        <v>75</v>
      </c>
      <c r="O6" s="6">
        <v>200</v>
      </c>
      <c r="P6" s="6" t="s">
        <v>77</v>
      </c>
      <c r="Q6" s="6"/>
      <c r="R6" s="6" t="s">
        <v>75</v>
      </c>
      <c r="S6" s="6" t="s">
        <v>74</v>
      </c>
      <c r="T6" s="6"/>
      <c r="U6" s="6" t="s">
        <v>78</v>
      </c>
      <c r="V6" s="6" t="s">
        <v>79</v>
      </c>
      <c r="W6" s="6" t="s">
        <v>72</v>
      </c>
      <c r="X6" s="6">
        <v>300</v>
      </c>
      <c r="Y6" s="6"/>
      <c r="Z6" s="6"/>
      <c r="AA6" s="6" t="s">
        <v>74</v>
      </c>
      <c r="AB6" s="6"/>
      <c r="AC6" s="6"/>
      <c r="AD6" s="6" t="s">
        <v>73</v>
      </c>
    </row>
    <row r="7" spans="1:30" ht="65.5" thickBot="1" x14ac:dyDescent="0.4">
      <c r="A7" s="8" t="s">
        <v>80</v>
      </c>
      <c r="B7" s="9"/>
      <c r="C7" s="9"/>
      <c r="D7" s="9" t="s">
        <v>72</v>
      </c>
      <c r="E7" s="9"/>
      <c r="F7" s="9"/>
      <c r="G7" s="9" t="s">
        <v>81</v>
      </c>
      <c r="H7" s="9" t="s">
        <v>82</v>
      </c>
      <c r="I7" s="9"/>
      <c r="J7" s="9" t="s">
        <v>72</v>
      </c>
      <c r="K7" s="9"/>
      <c r="L7" s="9" t="s">
        <v>83</v>
      </c>
      <c r="M7" s="9">
        <v>2</v>
      </c>
      <c r="N7" s="9" t="s">
        <v>84</v>
      </c>
      <c r="O7" s="9"/>
      <c r="P7" s="9"/>
      <c r="Q7" s="9" t="s">
        <v>85</v>
      </c>
      <c r="R7" s="9"/>
      <c r="S7" s="9" t="s">
        <v>75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F55D-1B08-43CF-9A0E-5FC6FF671BBB}">
  <dimension ref="A1:G12"/>
  <sheetViews>
    <sheetView workbookViewId="0">
      <selection activeCell="C1" sqref="C1:C2"/>
    </sheetView>
  </sheetViews>
  <sheetFormatPr baseColWidth="10" defaultRowHeight="14.5" x14ac:dyDescent="0.35"/>
  <sheetData>
    <row r="1" spans="1:7" ht="70" x14ac:dyDescent="0.35">
      <c r="A1" s="21" t="s">
        <v>0</v>
      </c>
      <c r="B1" s="21" t="s">
        <v>30</v>
      </c>
      <c r="C1" s="23" t="s">
        <v>32</v>
      </c>
      <c r="D1" s="23" t="s">
        <v>51</v>
      </c>
      <c r="E1" s="23" t="s">
        <v>59</v>
      </c>
      <c r="F1" s="25" t="s">
        <v>71</v>
      </c>
      <c r="G1" s="10" t="s">
        <v>86</v>
      </c>
    </row>
    <row r="2" spans="1:7" ht="15" thickBot="1" x14ac:dyDescent="0.4">
      <c r="A2" s="22"/>
      <c r="B2" s="22"/>
      <c r="C2" s="24"/>
      <c r="D2" s="24"/>
      <c r="E2" s="24"/>
      <c r="F2" s="26"/>
      <c r="G2" s="11">
        <v>-2007</v>
      </c>
    </row>
    <row r="3" spans="1:7" ht="15" thickBot="1" x14ac:dyDescent="0.4">
      <c r="A3" s="12" t="s">
        <v>87</v>
      </c>
      <c r="B3" s="13"/>
      <c r="C3" s="14" t="s">
        <v>88</v>
      </c>
      <c r="D3" s="14" t="s">
        <v>89</v>
      </c>
      <c r="E3" s="14" t="s">
        <v>88</v>
      </c>
      <c r="F3" s="15" t="s">
        <v>90</v>
      </c>
      <c r="G3" s="16" t="s">
        <v>91</v>
      </c>
    </row>
    <row r="4" spans="1:7" ht="28.5" thickBot="1" x14ac:dyDescent="0.4">
      <c r="A4" s="12" t="s">
        <v>92</v>
      </c>
      <c r="B4" s="13" t="s">
        <v>93</v>
      </c>
      <c r="C4" s="13">
        <v>149</v>
      </c>
      <c r="D4" s="13">
        <v>149</v>
      </c>
      <c r="E4" s="13">
        <v>145</v>
      </c>
      <c r="F4" s="15"/>
      <c r="G4" s="16"/>
    </row>
    <row r="5" spans="1:7" ht="15" thickBot="1" x14ac:dyDescent="0.4">
      <c r="A5" s="12" t="s">
        <v>94</v>
      </c>
      <c r="B5" s="13" t="s">
        <v>31</v>
      </c>
      <c r="C5" s="13">
        <v>1000</v>
      </c>
      <c r="D5" s="13">
        <v>1100</v>
      </c>
      <c r="E5" s="13">
        <v>1000</v>
      </c>
      <c r="F5" s="15"/>
      <c r="G5" s="16"/>
    </row>
    <row r="6" spans="1:7" ht="15" thickBot="1" x14ac:dyDescent="0.4">
      <c r="A6" s="12" t="s">
        <v>95</v>
      </c>
      <c r="B6" s="13" t="s">
        <v>31</v>
      </c>
      <c r="C6" s="13">
        <v>159</v>
      </c>
      <c r="D6" s="13">
        <v>160</v>
      </c>
      <c r="E6" s="13">
        <v>156</v>
      </c>
      <c r="F6" s="15">
        <v>600</v>
      </c>
      <c r="G6" s="16"/>
    </row>
    <row r="7" spans="1:7" ht="15" thickBot="1" x14ac:dyDescent="0.4">
      <c r="A7" s="12" t="s">
        <v>96</v>
      </c>
      <c r="B7" s="13" t="s">
        <v>31</v>
      </c>
      <c r="C7" s="13">
        <v>188</v>
      </c>
      <c r="D7" s="13">
        <v>190</v>
      </c>
      <c r="E7" s="13">
        <v>192</v>
      </c>
      <c r="F7" s="15"/>
      <c r="G7" s="16"/>
    </row>
    <row r="8" spans="1:7" ht="15" thickBot="1" x14ac:dyDescent="0.4">
      <c r="A8" s="12" t="s">
        <v>97</v>
      </c>
      <c r="B8" s="13" t="s">
        <v>31</v>
      </c>
      <c r="C8" s="13" t="s">
        <v>98</v>
      </c>
      <c r="D8" s="13" t="s">
        <v>99</v>
      </c>
      <c r="E8" s="13" t="s">
        <v>74</v>
      </c>
      <c r="F8" s="15">
        <v>10</v>
      </c>
      <c r="G8" s="16"/>
    </row>
    <row r="9" spans="1:7" ht="28.5" thickBot="1" x14ac:dyDescent="0.4">
      <c r="A9" s="12" t="s">
        <v>100</v>
      </c>
      <c r="B9" s="13" t="s">
        <v>31</v>
      </c>
      <c r="C9" s="13" t="s">
        <v>101</v>
      </c>
      <c r="D9" s="13" t="s">
        <v>102</v>
      </c>
      <c r="E9" s="13" t="s">
        <v>88</v>
      </c>
      <c r="F9" s="15">
        <v>50</v>
      </c>
      <c r="G9" s="16"/>
    </row>
    <row r="10" spans="1:7" ht="28.5" thickBot="1" x14ac:dyDescent="0.4">
      <c r="A10" s="17" t="s">
        <v>103</v>
      </c>
      <c r="B10" s="13" t="s">
        <v>31</v>
      </c>
      <c r="C10" s="18">
        <v>28</v>
      </c>
      <c r="D10" s="18">
        <v>29</v>
      </c>
      <c r="E10" s="18">
        <v>30</v>
      </c>
      <c r="F10" s="15">
        <v>1</v>
      </c>
      <c r="G10" s="16"/>
    </row>
    <row r="11" spans="1:7" ht="43" thickTop="1" thickBot="1" x14ac:dyDescent="0.4">
      <c r="A11" s="19" t="s">
        <v>104</v>
      </c>
      <c r="B11" s="20" t="s">
        <v>31</v>
      </c>
      <c r="C11" s="13" t="s">
        <v>46</v>
      </c>
      <c r="D11" s="13" t="s">
        <v>73</v>
      </c>
      <c r="E11" s="13" t="s">
        <v>105</v>
      </c>
      <c r="F11" s="15"/>
      <c r="G11" s="16"/>
    </row>
    <row r="12" spans="1:7" ht="15" thickTop="1" x14ac:dyDescent="0.35"/>
  </sheetData>
  <mergeCells count="6"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5036-45B2-4599-A344-B8D45CFC1AE2}">
  <dimension ref="A2:J52"/>
  <sheetViews>
    <sheetView tabSelected="1" workbookViewId="0">
      <selection activeCell="I23" sqref="I23"/>
    </sheetView>
  </sheetViews>
  <sheetFormatPr baseColWidth="10" defaultColWidth="9.1796875" defaultRowHeight="14.5" x14ac:dyDescent="0.35"/>
  <cols>
    <col min="1" max="1" width="17.54296875" style="29" customWidth="1"/>
    <col min="2" max="2" width="27" style="27" bestFit="1" customWidth="1"/>
    <col min="3" max="3" width="13.54296875" style="28" bestFit="1" customWidth="1"/>
    <col min="4" max="4" width="10.1796875" style="28" bestFit="1" customWidth="1"/>
    <col min="5" max="5" width="9.1796875" style="28"/>
    <col min="6" max="7" width="13.453125" style="28" customWidth="1"/>
    <col min="8" max="16384" width="9.1796875" style="27"/>
  </cols>
  <sheetData>
    <row r="2" spans="1:10" s="51" customFormat="1" ht="30" customHeight="1" x14ac:dyDescent="0.35">
      <c r="A2" s="57"/>
      <c r="C2" s="56"/>
      <c r="D2" s="56"/>
      <c r="E2" s="56"/>
      <c r="F2" s="52" t="s">
        <v>203</v>
      </c>
      <c r="G2" s="52" t="s">
        <v>204</v>
      </c>
    </row>
    <row r="3" spans="1:10" s="51" customFormat="1" x14ac:dyDescent="0.35">
      <c r="A3" s="55" t="s">
        <v>202</v>
      </c>
      <c r="B3" s="54" t="s">
        <v>201</v>
      </c>
      <c r="C3" s="53" t="s">
        <v>200</v>
      </c>
      <c r="D3" s="53" t="s">
        <v>199</v>
      </c>
      <c r="E3" s="53" t="s">
        <v>198</v>
      </c>
      <c r="F3" s="52"/>
      <c r="G3" s="52"/>
    </row>
    <row r="4" spans="1:10" ht="15" customHeight="1" x14ac:dyDescent="0.35">
      <c r="A4" s="50" t="s">
        <v>197</v>
      </c>
      <c r="B4" s="33" t="s">
        <v>196</v>
      </c>
      <c r="C4" s="31" t="s">
        <v>195</v>
      </c>
      <c r="D4" s="31" t="s">
        <v>82</v>
      </c>
      <c r="E4" s="31" t="s">
        <v>82</v>
      </c>
      <c r="F4" s="32" t="s">
        <v>194</v>
      </c>
      <c r="G4" s="31" t="s">
        <v>194</v>
      </c>
    </row>
    <row r="5" spans="1:10" x14ac:dyDescent="0.35">
      <c r="A5" s="49"/>
      <c r="B5" s="42" t="s">
        <v>193</v>
      </c>
      <c r="C5" s="31" t="s">
        <v>192</v>
      </c>
      <c r="D5" s="31" t="s">
        <v>191</v>
      </c>
      <c r="E5" s="31">
        <v>10</v>
      </c>
      <c r="F5" s="32">
        <v>144</v>
      </c>
      <c r="G5" s="31">
        <v>114</v>
      </c>
    </row>
    <row r="6" spans="1:10" x14ac:dyDescent="0.35">
      <c r="A6" s="48"/>
      <c r="B6" s="33" t="s">
        <v>190</v>
      </c>
      <c r="C6" s="31" t="s">
        <v>189</v>
      </c>
      <c r="D6" s="31" t="s">
        <v>82</v>
      </c>
      <c r="E6" s="31">
        <v>0</v>
      </c>
      <c r="F6" s="32">
        <v>1</v>
      </c>
      <c r="G6" s="31">
        <v>1</v>
      </c>
    </row>
    <row r="7" spans="1:10" ht="15" customHeight="1" x14ac:dyDescent="0.35">
      <c r="A7" s="43" t="s">
        <v>188</v>
      </c>
      <c r="B7" s="33" t="s">
        <v>1</v>
      </c>
      <c r="C7" s="31" t="s">
        <v>187</v>
      </c>
      <c r="D7" s="31" t="s">
        <v>108</v>
      </c>
      <c r="E7" s="31">
        <v>50</v>
      </c>
      <c r="F7" s="38">
        <v>83307</v>
      </c>
      <c r="G7" s="37">
        <v>71328</v>
      </c>
      <c r="I7" s="30"/>
      <c r="J7" s="30"/>
    </row>
    <row r="8" spans="1:10" x14ac:dyDescent="0.35">
      <c r="A8" s="43"/>
      <c r="B8" s="33" t="s">
        <v>186</v>
      </c>
      <c r="C8" s="31" t="s">
        <v>185</v>
      </c>
      <c r="D8" s="31" t="s">
        <v>108</v>
      </c>
      <c r="E8" s="31">
        <v>0.05</v>
      </c>
      <c r="F8" s="47">
        <v>0.55000000000000004</v>
      </c>
      <c r="G8" s="36">
        <v>0.69</v>
      </c>
      <c r="I8" s="30"/>
      <c r="J8" s="30"/>
    </row>
    <row r="9" spans="1:10" x14ac:dyDescent="0.35">
      <c r="A9" s="43"/>
      <c r="B9" s="33" t="s">
        <v>3</v>
      </c>
      <c r="C9" s="31" t="s">
        <v>184</v>
      </c>
      <c r="D9" s="31" t="s">
        <v>108</v>
      </c>
      <c r="E9" s="31">
        <v>0.5</v>
      </c>
      <c r="F9" s="32">
        <v>2.2999999999999998</v>
      </c>
      <c r="G9" s="31">
        <v>1.5</v>
      </c>
      <c r="I9" s="30"/>
      <c r="J9" s="30"/>
    </row>
    <row r="10" spans="1:10" x14ac:dyDescent="0.35">
      <c r="A10" s="43"/>
      <c r="B10" s="33" t="s">
        <v>183</v>
      </c>
      <c r="C10" s="31" t="s">
        <v>182</v>
      </c>
      <c r="D10" s="31" t="s">
        <v>108</v>
      </c>
      <c r="E10" s="31">
        <v>0.1</v>
      </c>
      <c r="F10" s="46">
        <v>373.1</v>
      </c>
      <c r="G10" s="45">
        <v>407.1</v>
      </c>
      <c r="I10" s="30"/>
      <c r="J10" s="30"/>
    </row>
    <row r="11" spans="1:10" x14ac:dyDescent="0.35">
      <c r="A11" s="43"/>
      <c r="B11" s="33" t="s">
        <v>181</v>
      </c>
      <c r="C11" s="31" t="s">
        <v>180</v>
      </c>
      <c r="D11" s="31" t="s">
        <v>108</v>
      </c>
      <c r="E11" s="31">
        <v>0.05</v>
      </c>
      <c r="F11" s="32">
        <v>1.52</v>
      </c>
      <c r="G11" s="31">
        <v>1.3</v>
      </c>
      <c r="I11" s="30"/>
      <c r="J11" s="30"/>
    </row>
    <row r="12" spans="1:10" x14ac:dyDescent="0.35">
      <c r="A12" s="43"/>
      <c r="B12" s="33" t="s">
        <v>179</v>
      </c>
      <c r="C12" s="31" t="s">
        <v>178</v>
      </c>
      <c r="D12" s="31" t="s">
        <v>108</v>
      </c>
      <c r="E12" s="31">
        <v>0.01</v>
      </c>
      <c r="F12" s="32">
        <v>1.1399999999999999</v>
      </c>
      <c r="G12" s="31">
        <v>1.67</v>
      </c>
      <c r="I12" s="30"/>
      <c r="J12" s="30"/>
    </row>
    <row r="13" spans="1:10" x14ac:dyDescent="0.35">
      <c r="A13" s="43"/>
      <c r="B13" s="33" t="s">
        <v>6</v>
      </c>
      <c r="C13" s="31" t="s">
        <v>177</v>
      </c>
      <c r="D13" s="31" t="s">
        <v>108</v>
      </c>
      <c r="E13" s="31">
        <v>0.02</v>
      </c>
      <c r="F13" s="32">
        <v>0.08</v>
      </c>
      <c r="G13" s="31">
        <v>0.08</v>
      </c>
      <c r="I13" s="30"/>
      <c r="J13" s="30"/>
    </row>
    <row r="14" spans="1:10" x14ac:dyDescent="0.35">
      <c r="A14" s="43"/>
      <c r="B14" s="33" t="s">
        <v>176</v>
      </c>
      <c r="C14" s="31" t="s">
        <v>175</v>
      </c>
      <c r="D14" s="31" t="s">
        <v>108</v>
      </c>
      <c r="E14" s="31">
        <v>5</v>
      </c>
      <c r="F14" s="32">
        <v>22</v>
      </c>
      <c r="G14" s="31">
        <v>30</v>
      </c>
      <c r="I14" s="30"/>
      <c r="J14" s="30"/>
    </row>
    <row r="15" spans="1:10" x14ac:dyDescent="0.35">
      <c r="A15" s="43"/>
      <c r="B15" s="33" t="s">
        <v>10</v>
      </c>
      <c r="C15" s="31" t="s">
        <v>174</v>
      </c>
      <c r="D15" s="31" t="s">
        <v>108</v>
      </c>
      <c r="E15" s="31">
        <v>0.1</v>
      </c>
      <c r="F15" s="32">
        <v>8.9</v>
      </c>
      <c r="G15" s="31">
        <v>8.1999999999999993</v>
      </c>
      <c r="I15" s="30"/>
      <c r="J15" s="30"/>
    </row>
    <row r="16" spans="1:10" x14ac:dyDescent="0.35">
      <c r="A16" s="43"/>
      <c r="B16" s="33" t="s">
        <v>173</v>
      </c>
      <c r="C16" s="31" t="s">
        <v>172</v>
      </c>
      <c r="D16" s="31" t="s">
        <v>108</v>
      </c>
      <c r="E16" s="31">
        <v>1</v>
      </c>
      <c r="F16" s="32">
        <v>19</v>
      </c>
      <c r="G16" s="31">
        <v>17</v>
      </c>
      <c r="I16" s="30"/>
      <c r="J16" s="30"/>
    </row>
    <row r="17" spans="1:10" x14ac:dyDescent="0.35">
      <c r="A17" s="43"/>
      <c r="B17" s="33" t="s">
        <v>171</v>
      </c>
      <c r="C17" s="31" t="s">
        <v>170</v>
      </c>
      <c r="D17" s="31" t="s">
        <v>106</v>
      </c>
      <c r="E17" s="31">
        <v>0.01</v>
      </c>
      <c r="F17" s="32">
        <v>2.57</v>
      </c>
      <c r="G17" s="31">
        <v>2.14</v>
      </c>
      <c r="I17" s="30"/>
      <c r="J17" s="30"/>
    </row>
    <row r="18" spans="1:10" x14ac:dyDescent="0.35">
      <c r="A18" s="43"/>
      <c r="B18" s="33" t="s">
        <v>169</v>
      </c>
      <c r="C18" s="31" t="s">
        <v>168</v>
      </c>
      <c r="D18" s="31" t="s">
        <v>108</v>
      </c>
      <c r="E18" s="31">
        <v>0.5</v>
      </c>
      <c r="F18" s="32">
        <v>15.7</v>
      </c>
      <c r="G18" s="31">
        <v>12.1</v>
      </c>
      <c r="I18" s="30"/>
      <c r="J18" s="30"/>
    </row>
    <row r="19" spans="1:10" x14ac:dyDescent="0.35">
      <c r="A19" s="43"/>
      <c r="B19" s="33" t="s">
        <v>167</v>
      </c>
      <c r="C19" s="31" t="s">
        <v>166</v>
      </c>
      <c r="D19" s="31" t="s">
        <v>108</v>
      </c>
      <c r="E19" s="31">
        <v>1</v>
      </c>
      <c r="F19" s="32">
        <v>407</v>
      </c>
      <c r="G19" s="31">
        <v>320</v>
      </c>
      <c r="I19" s="30"/>
      <c r="J19" s="30"/>
    </row>
    <row r="20" spans="1:10" x14ac:dyDescent="0.35">
      <c r="A20" s="43"/>
      <c r="B20" s="33" t="s">
        <v>165</v>
      </c>
      <c r="C20" s="31" t="s">
        <v>164</v>
      </c>
      <c r="D20" s="31" t="s">
        <v>108</v>
      </c>
      <c r="E20" s="31">
        <f>1/1000</f>
        <v>1E-3</v>
      </c>
      <c r="F20" s="32">
        <f>39/1000</f>
        <v>3.9E-2</v>
      </c>
      <c r="G20" s="31">
        <f>62/1000</f>
        <v>6.2E-2</v>
      </c>
      <c r="I20" s="30"/>
      <c r="J20" s="30"/>
    </row>
    <row r="21" spans="1:10" x14ac:dyDescent="0.35">
      <c r="A21" s="43"/>
      <c r="B21" s="33" t="s">
        <v>163</v>
      </c>
      <c r="C21" s="31" t="s">
        <v>162</v>
      </c>
      <c r="D21" s="31" t="s">
        <v>108</v>
      </c>
      <c r="E21" s="31">
        <v>0.1</v>
      </c>
      <c r="F21" s="32">
        <v>11.7</v>
      </c>
      <c r="G21" s="31">
        <v>34.4</v>
      </c>
      <c r="I21" s="30"/>
      <c r="J21" s="30"/>
    </row>
    <row r="22" spans="1:10" x14ac:dyDescent="0.35">
      <c r="A22" s="43"/>
      <c r="B22" s="33" t="s">
        <v>18</v>
      </c>
      <c r="C22" s="31" t="s">
        <v>161</v>
      </c>
      <c r="D22" s="31" t="s">
        <v>108</v>
      </c>
      <c r="E22" s="31">
        <v>1</v>
      </c>
      <c r="F22" s="32">
        <v>12</v>
      </c>
      <c r="G22" s="31">
        <v>19</v>
      </c>
      <c r="I22" s="30"/>
      <c r="J22" s="30"/>
    </row>
    <row r="23" spans="1:10" x14ac:dyDescent="0.35">
      <c r="A23" s="43"/>
      <c r="B23" s="33" t="s">
        <v>160</v>
      </c>
      <c r="C23" s="31" t="s">
        <v>159</v>
      </c>
      <c r="D23" s="31" t="s">
        <v>108</v>
      </c>
      <c r="E23" s="31">
        <v>0.01</v>
      </c>
      <c r="F23" s="32">
        <v>0.18</v>
      </c>
      <c r="G23" s="31">
        <v>0.2</v>
      </c>
      <c r="I23" s="30"/>
      <c r="J23" s="30"/>
    </row>
    <row r="24" spans="1:10" x14ac:dyDescent="0.35">
      <c r="A24" s="43"/>
      <c r="B24" s="33" t="s">
        <v>158</v>
      </c>
      <c r="C24" s="31" t="s">
        <v>157</v>
      </c>
      <c r="D24" s="31" t="s">
        <v>108</v>
      </c>
      <c r="E24" s="31">
        <v>0.1</v>
      </c>
      <c r="F24" s="32">
        <v>0.3</v>
      </c>
      <c r="G24" s="31">
        <v>0.2</v>
      </c>
      <c r="I24" s="30"/>
      <c r="J24" s="30"/>
    </row>
    <row r="25" spans="1:10" x14ac:dyDescent="0.35">
      <c r="A25" s="43"/>
      <c r="B25" s="33" t="s">
        <v>24</v>
      </c>
      <c r="C25" s="31" t="s">
        <v>156</v>
      </c>
      <c r="D25" s="31" t="s">
        <v>108</v>
      </c>
      <c r="E25" s="31">
        <v>0.05</v>
      </c>
      <c r="F25" s="46">
        <v>95.12</v>
      </c>
      <c r="G25" s="45">
        <v>155.44</v>
      </c>
      <c r="I25" s="30"/>
      <c r="J25" s="30"/>
    </row>
    <row r="26" spans="1:10" x14ac:dyDescent="0.35">
      <c r="A26" s="43"/>
      <c r="B26" s="33" t="s">
        <v>155</v>
      </c>
      <c r="C26" s="31" t="s">
        <v>154</v>
      </c>
      <c r="D26" s="31" t="s">
        <v>108</v>
      </c>
      <c r="E26" s="31">
        <v>0.01</v>
      </c>
      <c r="F26" s="32">
        <v>4.05</v>
      </c>
      <c r="G26" s="31">
        <v>3.11</v>
      </c>
      <c r="I26" s="30"/>
      <c r="J26" s="30"/>
    </row>
    <row r="27" spans="1:10" x14ac:dyDescent="0.35">
      <c r="A27" s="43"/>
      <c r="B27" s="33" t="s">
        <v>153</v>
      </c>
      <c r="C27" s="31" t="s">
        <v>152</v>
      </c>
      <c r="D27" s="31" t="s">
        <v>108</v>
      </c>
      <c r="E27" s="31">
        <v>0.1</v>
      </c>
      <c r="F27" s="32">
        <v>0.6</v>
      </c>
      <c r="G27" s="31">
        <v>0.4</v>
      </c>
      <c r="I27" s="30"/>
      <c r="J27" s="30"/>
    </row>
    <row r="28" spans="1:10" x14ac:dyDescent="0.35">
      <c r="A28" s="43"/>
      <c r="B28" s="33" t="s">
        <v>27</v>
      </c>
      <c r="C28" s="31" t="s">
        <v>151</v>
      </c>
      <c r="D28" s="31" t="s">
        <v>108</v>
      </c>
      <c r="E28" s="31">
        <v>0.01</v>
      </c>
      <c r="F28" s="32">
        <v>1.69</v>
      </c>
      <c r="G28" s="31">
        <v>1.54</v>
      </c>
      <c r="I28" s="30"/>
      <c r="J28" s="30"/>
    </row>
    <row r="29" spans="1:10" x14ac:dyDescent="0.35">
      <c r="A29" s="43"/>
      <c r="B29" s="33" t="s">
        <v>28</v>
      </c>
      <c r="C29" s="31" t="s">
        <v>150</v>
      </c>
      <c r="D29" s="31" t="s">
        <v>108</v>
      </c>
      <c r="E29" s="31">
        <v>1</v>
      </c>
      <c r="F29" s="32">
        <v>57</v>
      </c>
      <c r="G29" s="31">
        <v>49</v>
      </c>
      <c r="I29" s="30"/>
      <c r="J29" s="30"/>
    </row>
    <row r="30" spans="1:10" x14ac:dyDescent="0.35">
      <c r="A30" s="43"/>
      <c r="B30" s="33" t="s">
        <v>29</v>
      </c>
      <c r="C30" s="31" t="s">
        <v>149</v>
      </c>
      <c r="D30" s="31" t="s">
        <v>108</v>
      </c>
      <c r="E30" s="31">
        <v>1</v>
      </c>
      <c r="F30" s="32">
        <v>57</v>
      </c>
      <c r="G30" s="31">
        <v>58</v>
      </c>
      <c r="I30" s="30"/>
      <c r="J30" s="30"/>
    </row>
    <row r="31" spans="1:10" x14ac:dyDescent="0.35">
      <c r="A31" s="44" t="s">
        <v>148</v>
      </c>
      <c r="B31" s="33" t="s">
        <v>147</v>
      </c>
      <c r="C31" s="31" t="s">
        <v>146</v>
      </c>
      <c r="D31" s="31" t="s">
        <v>108</v>
      </c>
      <c r="E31" s="31">
        <v>50</v>
      </c>
      <c r="F31" s="32">
        <v>248</v>
      </c>
      <c r="G31" s="31">
        <v>249</v>
      </c>
      <c r="I31" s="30"/>
      <c r="J31" s="30"/>
    </row>
    <row r="32" spans="1:10" x14ac:dyDescent="0.35">
      <c r="A32" s="43" t="s">
        <v>145</v>
      </c>
      <c r="B32" s="33" t="s">
        <v>144</v>
      </c>
      <c r="C32" s="31" t="s">
        <v>143</v>
      </c>
      <c r="D32" s="31" t="s">
        <v>106</v>
      </c>
      <c r="E32" s="31">
        <v>0.01</v>
      </c>
      <c r="F32" s="32">
        <v>0.2</v>
      </c>
      <c r="G32" s="31">
        <v>0.31</v>
      </c>
      <c r="I32" s="30"/>
      <c r="J32" s="30"/>
    </row>
    <row r="33" spans="1:10" x14ac:dyDescent="0.35">
      <c r="A33" s="43"/>
      <c r="B33" s="42" t="s">
        <v>142</v>
      </c>
      <c r="C33" s="31" t="s">
        <v>141</v>
      </c>
      <c r="D33" s="31" t="s">
        <v>106</v>
      </c>
      <c r="E33" s="31">
        <v>0.01</v>
      </c>
      <c r="F33" s="32">
        <v>0.04</v>
      </c>
      <c r="G33" s="31">
        <v>0.03</v>
      </c>
      <c r="I33" s="30"/>
      <c r="J33" s="30"/>
    </row>
    <row r="34" spans="1:10" ht="15" customHeight="1" x14ac:dyDescent="0.35">
      <c r="A34" s="40" t="s">
        <v>140</v>
      </c>
      <c r="B34" s="33" t="s">
        <v>87</v>
      </c>
      <c r="C34" s="31" t="s">
        <v>87</v>
      </c>
      <c r="D34" s="31" t="s">
        <v>135</v>
      </c>
      <c r="E34" s="31">
        <v>0.1</v>
      </c>
      <c r="F34" s="32">
        <v>9.5</v>
      </c>
      <c r="G34" s="31">
        <v>9.6999999999999993</v>
      </c>
      <c r="I34" s="30"/>
      <c r="J34" s="30"/>
    </row>
    <row r="35" spans="1:10" x14ac:dyDescent="0.35">
      <c r="A35" s="40"/>
      <c r="B35" s="42" t="s">
        <v>139</v>
      </c>
      <c r="C35" s="31" t="s">
        <v>138</v>
      </c>
      <c r="D35" s="31" t="s">
        <v>135</v>
      </c>
      <c r="E35" s="31">
        <v>0.1</v>
      </c>
      <c r="F35" s="32">
        <v>4.5</v>
      </c>
      <c r="G35" s="31">
        <v>4.5</v>
      </c>
      <c r="I35" s="30"/>
      <c r="J35" s="30"/>
    </row>
    <row r="36" spans="1:10" x14ac:dyDescent="0.35">
      <c r="A36" s="40"/>
      <c r="B36" s="42" t="s">
        <v>137</v>
      </c>
      <c r="C36" s="31" t="s">
        <v>136</v>
      </c>
      <c r="D36" s="31" t="s">
        <v>135</v>
      </c>
      <c r="E36" s="31">
        <v>0.1</v>
      </c>
      <c r="F36" s="32">
        <v>1.2</v>
      </c>
      <c r="G36" s="31">
        <v>1.3</v>
      </c>
      <c r="I36" s="30"/>
      <c r="J36" s="30"/>
    </row>
    <row r="37" spans="1:10" ht="15" customHeight="1" x14ac:dyDescent="0.35">
      <c r="A37" s="40"/>
      <c r="B37" s="41" t="s">
        <v>134</v>
      </c>
      <c r="C37" s="31" t="s">
        <v>133</v>
      </c>
      <c r="D37" s="31" t="s">
        <v>121</v>
      </c>
      <c r="E37" s="31">
        <v>1</v>
      </c>
      <c r="F37" s="32">
        <v>22</v>
      </c>
      <c r="G37" s="31">
        <v>41</v>
      </c>
      <c r="I37" s="30"/>
      <c r="J37" s="30"/>
    </row>
    <row r="38" spans="1:10" ht="15" customHeight="1" x14ac:dyDescent="0.35">
      <c r="A38" s="40"/>
      <c r="B38" s="41" t="s">
        <v>132</v>
      </c>
      <c r="C38" s="31" t="s">
        <v>131</v>
      </c>
      <c r="D38" s="31" t="s">
        <v>121</v>
      </c>
      <c r="E38" s="31">
        <v>1</v>
      </c>
      <c r="F38" s="32">
        <v>4</v>
      </c>
      <c r="G38" s="31">
        <v>6</v>
      </c>
      <c r="I38" s="30"/>
      <c r="J38" s="30"/>
    </row>
    <row r="39" spans="1:10" ht="15" customHeight="1" x14ac:dyDescent="0.35">
      <c r="A39" s="40"/>
      <c r="B39" s="42" t="s">
        <v>130</v>
      </c>
      <c r="C39" s="31" t="s">
        <v>129</v>
      </c>
      <c r="D39" s="31" t="s">
        <v>121</v>
      </c>
      <c r="E39" s="31">
        <v>1</v>
      </c>
      <c r="F39" s="32">
        <v>0</v>
      </c>
      <c r="G39" s="31">
        <v>0</v>
      </c>
      <c r="I39" s="30"/>
      <c r="J39" s="30"/>
    </row>
    <row r="40" spans="1:10" ht="15" customHeight="1" x14ac:dyDescent="0.35">
      <c r="A40" s="40"/>
      <c r="B40" s="42" t="s">
        <v>128</v>
      </c>
      <c r="C40" s="31" t="s">
        <v>127</v>
      </c>
      <c r="D40" s="31" t="s">
        <v>126</v>
      </c>
      <c r="E40" s="31">
        <v>0.1</v>
      </c>
      <c r="F40" s="32">
        <v>10.199999999999999</v>
      </c>
      <c r="G40" s="31">
        <v>10.6</v>
      </c>
      <c r="I40" s="30"/>
      <c r="J40" s="30"/>
    </row>
    <row r="41" spans="1:10" ht="15" customHeight="1" x14ac:dyDescent="0.35">
      <c r="A41" s="40"/>
      <c r="B41" s="42" t="s">
        <v>125</v>
      </c>
      <c r="C41" s="31" t="s">
        <v>124</v>
      </c>
      <c r="D41" s="31" t="s">
        <v>121</v>
      </c>
      <c r="E41" s="31">
        <v>1</v>
      </c>
      <c r="F41" s="32">
        <v>0</v>
      </c>
      <c r="G41" s="31">
        <v>0</v>
      </c>
      <c r="I41" s="30"/>
      <c r="J41" s="30"/>
    </row>
    <row r="42" spans="1:10" ht="15" customHeight="1" x14ac:dyDescent="0.35">
      <c r="A42" s="40"/>
      <c r="B42" s="41" t="s">
        <v>123</v>
      </c>
      <c r="C42" s="31" t="s">
        <v>122</v>
      </c>
      <c r="D42" s="31" t="s">
        <v>121</v>
      </c>
      <c r="E42" s="31">
        <v>1</v>
      </c>
      <c r="F42" s="32">
        <v>-18</v>
      </c>
      <c r="G42" s="31">
        <v>-35</v>
      </c>
      <c r="I42" s="30"/>
      <c r="J42" s="30"/>
    </row>
    <row r="43" spans="1:10" x14ac:dyDescent="0.35">
      <c r="A43" s="40"/>
      <c r="B43" s="33" t="s">
        <v>120</v>
      </c>
      <c r="C43" s="31" t="s">
        <v>119</v>
      </c>
      <c r="D43" s="31" t="s">
        <v>106</v>
      </c>
      <c r="E43" s="31">
        <v>0.01</v>
      </c>
      <c r="F43" s="32">
        <v>0.12</v>
      </c>
      <c r="G43" s="31">
        <v>0.19</v>
      </c>
      <c r="I43" s="30"/>
      <c r="J43" s="30"/>
    </row>
    <row r="44" spans="1:10" x14ac:dyDescent="0.35">
      <c r="A44" s="40"/>
      <c r="B44" s="33" t="s">
        <v>120</v>
      </c>
      <c r="C44" s="31" t="s">
        <v>119</v>
      </c>
      <c r="D44" s="31" t="s">
        <v>106</v>
      </c>
      <c r="E44" s="31">
        <v>5.0000000000000001E-3</v>
      </c>
      <c r="F44" s="32">
        <v>8.5000000000000006E-2</v>
      </c>
      <c r="G44" s="31">
        <v>0.13</v>
      </c>
      <c r="I44" s="30"/>
      <c r="J44" s="30"/>
    </row>
    <row r="45" spans="1:10" ht="15" customHeight="1" x14ac:dyDescent="0.35">
      <c r="A45" s="40"/>
      <c r="B45" s="33" t="s">
        <v>118</v>
      </c>
      <c r="C45" s="31" t="s">
        <v>117</v>
      </c>
      <c r="D45" s="31" t="s">
        <v>106</v>
      </c>
      <c r="E45" s="31">
        <v>0.01</v>
      </c>
      <c r="F45" s="32">
        <v>0.16</v>
      </c>
      <c r="G45" s="31">
        <v>0.28000000000000003</v>
      </c>
      <c r="I45" s="30"/>
      <c r="J45" s="30"/>
    </row>
    <row r="46" spans="1:10" x14ac:dyDescent="0.35">
      <c r="A46" s="39" t="s">
        <v>116</v>
      </c>
      <c r="B46" s="33" t="s">
        <v>7</v>
      </c>
      <c r="C46" s="31" t="s">
        <v>115</v>
      </c>
      <c r="D46" s="31" t="s">
        <v>108</v>
      </c>
      <c r="E46" s="31">
        <v>50</v>
      </c>
      <c r="F46" s="38">
        <v>5941</v>
      </c>
      <c r="G46" s="37">
        <v>9405</v>
      </c>
      <c r="I46" s="30"/>
      <c r="J46" s="30"/>
    </row>
    <row r="47" spans="1:10" x14ac:dyDescent="0.35">
      <c r="A47" s="35"/>
      <c r="B47" s="33" t="s">
        <v>114</v>
      </c>
      <c r="C47" s="31" t="s">
        <v>113</v>
      </c>
      <c r="D47" s="31" t="s">
        <v>108</v>
      </c>
      <c r="E47" s="31">
        <v>20</v>
      </c>
      <c r="F47" s="38">
        <v>3052</v>
      </c>
      <c r="G47" s="37">
        <v>4946</v>
      </c>
      <c r="I47" s="30"/>
      <c r="J47" s="30"/>
    </row>
    <row r="48" spans="1:10" x14ac:dyDescent="0.35">
      <c r="A48" s="35"/>
      <c r="B48" s="33" t="s">
        <v>20</v>
      </c>
      <c r="C48" s="31" t="s">
        <v>112</v>
      </c>
      <c r="D48" s="31" t="s">
        <v>108</v>
      </c>
      <c r="E48" s="31">
        <v>20</v>
      </c>
      <c r="F48" s="38">
        <v>20213</v>
      </c>
      <c r="G48" s="37">
        <v>19346</v>
      </c>
      <c r="I48" s="30"/>
      <c r="J48" s="30"/>
    </row>
    <row r="49" spans="1:10" x14ac:dyDescent="0.35">
      <c r="A49" s="35"/>
      <c r="B49" s="33" t="s">
        <v>23</v>
      </c>
      <c r="C49" s="31" t="s">
        <v>111</v>
      </c>
      <c r="D49" s="31" t="s">
        <v>108</v>
      </c>
      <c r="E49" s="31">
        <v>20</v>
      </c>
      <c r="F49" s="38">
        <v>12248</v>
      </c>
      <c r="G49" s="37">
        <v>15792</v>
      </c>
      <c r="I49" s="30"/>
      <c r="J49" s="30"/>
    </row>
    <row r="50" spans="1:10" x14ac:dyDescent="0.35">
      <c r="A50" s="35"/>
      <c r="B50" s="33" t="s">
        <v>110</v>
      </c>
      <c r="C50" s="31" t="s">
        <v>109</v>
      </c>
      <c r="D50" s="31" t="s">
        <v>108</v>
      </c>
      <c r="E50" s="31">
        <v>50</v>
      </c>
      <c r="F50" s="32">
        <v>661</v>
      </c>
      <c r="G50" s="31">
        <v>728</v>
      </c>
      <c r="I50" s="30"/>
      <c r="J50" s="30"/>
    </row>
    <row r="51" spans="1:10" x14ac:dyDescent="0.35">
      <c r="A51" s="35"/>
      <c r="B51" s="33" t="s">
        <v>96</v>
      </c>
      <c r="C51" s="31" t="s">
        <v>107</v>
      </c>
      <c r="D51" s="31" t="s">
        <v>106</v>
      </c>
      <c r="E51" s="31">
        <v>0.01</v>
      </c>
      <c r="F51" s="32" t="s">
        <v>82</v>
      </c>
      <c r="G51" s="31">
        <v>0.01</v>
      </c>
      <c r="I51" s="30"/>
      <c r="J51" s="30"/>
    </row>
    <row r="52" spans="1:10" x14ac:dyDescent="0.35">
      <c r="A52" s="34"/>
      <c r="B52" s="33" t="s">
        <v>96</v>
      </c>
      <c r="C52" s="31" t="s">
        <v>107</v>
      </c>
      <c r="D52" s="31" t="s">
        <v>106</v>
      </c>
      <c r="E52" s="31">
        <v>0.01</v>
      </c>
      <c r="F52" s="32">
        <v>0.03</v>
      </c>
      <c r="G52" s="31">
        <v>0.05</v>
      </c>
      <c r="I52" s="30"/>
      <c r="J52" s="30"/>
    </row>
  </sheetData>
  <mergeCells count="7">
    <mergeCell ref="A32:A33"/>
    <mergeCell ref="F2:F3"/>
    <mergeCell ref="G2:G3"/>
    <mergeCell ref="A4:A6"/>
    <mergeCell ref="A7:A30"/>
    <mergeCell ref="A46:A52"/>
    <mergeCell ref="A34:A45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ETM</vt:lpstr>
      <vt:lpstr>physico-chimie</vt:lpstr>
      <vt:lpstr>résidus solides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Mme KAFANDO</dc:creator>
  <cp:lastModifiedBy>Mme KAFANDO</cp:lastModifiedBy>
  <dcterms:created xsi:type="dcterms:W3CDTF">2026-03-22T14:47:21Z</dcterms:created>
  <dcterms:modified xsi:type="dcterms:W3CDTF">2026-03-22T14:54:15Z</dcterms:modified>
</cp:coreProperties>
</file>